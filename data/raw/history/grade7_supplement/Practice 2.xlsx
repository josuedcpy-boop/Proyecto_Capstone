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ink/ink3.xml" ContentType="application/inkml+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casfaedupr-my.sharepoint.com/personal/josuecandelaria_casfaedu_org/Documents/History 7th - supplement material/"/>
    </mc:Choice>
  </mc:AlternateContent>
  <xr:revisionPtr revIDLastSave="667" documentId="8_{A6640026-DA34-4CE5-BD7E-AB181B649788}" xr6:coauthVersionLast="47" xr6:coauthVersionMax="47" xr10:uidLastSave="{757DD128-0699-4A90-8D57-9A088439BBDC}"/>
  <bookViews>
    <workbookView xWindow="-120" yWindow="-120" windowWidth="29040" windowHeight="15720" activeTab="7" xr2:uid="{90908C4E-43BA-4B72-8E77-7F5B524E6ECA}"/>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8" l="1"/>
  <c r="J3" i="8"/>
  <c r="J4" i="8"/>
  <c r="J5" i="8"/>
  <c r="J6" i="8"/>
  <c r="H7" i="8"/>
  <c r="C10" i="8"/>
  <c r="D10" i="8"/>
  <c r="E10" i="8"/>
  <c r="F10" i="8"/>
  <c r="G10" i="8"/>
  <c r="H10" i="8"/>
  <c r="C11" i="8"/>
  <c r="D11" i="8"/>
  <c r="E11" i="8"/>
  <c r="F11" i="8"/>
  <c r="G11" i="8"/>
  <c r="H11" i="8"/>
  <c r="B11" i="8"/>
  <c r="C9" i="8"/>
  <c r="D9" i="8"/>
  <c r="E9" i="8"/>
  <c r="F9" i="8"/>
  <c r="G9" i="8"/>
  <c r="H9" i="8"/>
  <c r="C8" i="8"/>
  <c r="D8" i="8"/>
  <c r="E8" i="8"/>
  <c r="F8" i="8"/>
  <c r="G8" i="8"/>
  <c r="H8" i="8"/>
  <c r="C7" i="8"/>
  <c r="D7" i="8"/>
  <c r="E7" i="8"/>
  <c r="F7" i="8"/>
  <c r="G7" i="8"/>
  <c r="B7" i="8"/>
  <c r="B8" i="8"/>
  <c r="B9" i="8"/>
  <c r="B10" i="8"/>
  <c r="I3" i="8"/>
  <c r="I4" i="8"/>
  <c r="I5" i="8"/>
  <c r="I6" i="8"/>
  <c r="I2" i="8"/>
  <c r="L12" i="2"/>
  <c r="E4" i="2"/>
  <c r="E3" i="2"/>
  <c r="E2" i="2"/>
</calcChain>
</file>

<file path=xl/sharedStrings.xml><?xml version="1.0" encoding="utf-8"?>
<sst xmlns="http://schemas.openxmlformats.org/spreadsheetml/2006/main" count="163" uniqueCount="117">
  <si>
    <t>Trainers</t>
  </si>
  <si>
    <t>Pokeball</t>
  </si>
  <si>
    <t>Iva</t>
  </si>
  <si>
    <t>Liam</t>
  </si>
  <si>
    <t>Adora</t>
  </si>
  <si>
    <t>Ultra Ball</t>
  </si>
  <si>
    <t>Great Ball</t>
  </si>
  <si>
    <t>Pokeball Price</t>
  </si>
  <si>
    <t>Great Ball Price</t>
  </si>
  <si>
    <t>Ultra Ball Price</t>
  </si>
  <si>
    <t>Spent Money</t>
  </si>
  <si>
    <t>All 3</t>
  </si>
  <si>
    <t>Total</t>
  </si>
  <si>
    <r>
      <rPr>
        <sz val="11"/>
        <color rgb="FFFF0000"/>
        <rFont val="Aptos Narrow"/>
        <family val="2"/>
        <scheme val="minor"/>
      </rPr>
      <t>Fill in the gaps using only 3 formulas and copying it and dragging it correctly</t>
    </r>
    <r>
      <rPr>
        <sz val="11"/>
        <color theme="1"/>
        <rFont val="Aptos Narrow"/>
        <family val="2"/>
        <scheme val="minor"/>
      </rPr>
      <t xml:space="preserve"> </t>
    </r>
  </si>
  <si>
    <t>Hint: You must use the new symbol $</t>
  </si>
  <si>
    <t>General Store</t>
  </si>
  <si>
    <t>Price</t>
  </si>
  <si>
    <t>Cereal</t>
  </si>
  <si>
    <t>Candy</t>
  </si>
  <si>
    <t>Chicken</t>
  </si>
  <si>
    <t>Eggs (12 pack)</t>
  </si>
  <si>
    <t>Broom</t>
  </si>
  <si>
    <t>Juice</t>
  </si>
  <si>
    <t>Tax</t>
  </si>
  <si>
    <t>Toy</t>
  </si>
  <si>
    <t>TV</t>
  </si>
  <si>
    <t>Cookies</t>
  </si>
  <si>
    <t>Hand Sanitizer</t>
  </si>
  <si>
    <t>Paper Towel</t>
  </si>
  <si>
    <t>Pencils</t>
  </si>
  <si>
    <t>Notebook</t>
  </si>
  <si>
    <t>Josh, Cindy and Maria all went to the store. Josh bought a TV, 3 packs of cookies and juice. Cindy bought a chicken, 2 boxes of cereal, eggs, and 4 paper towels. Maria bought 13 pieces of candy, 5 toys, a broom, 10 packs of pencils and 10 notebooks.  Create a shopping cart for each customer that calculates the total of each item and then later grand total with tax</t>
  </si>
  <si>
    <t>Quantity</t>
  </si>
  <si>
    <t>Grand Total</t>
  </si>
  <si>
    <t>Josh Shopping Cart</t>
  </si>
  <si>
    <t>GT</t>
  </si>
  <si>
    <t>Cindy Shopping Cart</t>
  </si>
  <si>
    <t>Maria Shopping Cart</t>
  </si>
  <si>
    <t xml:space="preserve">  </t>
  </si>
  <si>
    <t>Eggs</t>
  </si>
  <si>
    <t>Paper Towels</t>
  </si>
  <si>
    <t>candy</t>
  </si>
  <si>
    <t>toys</t>
  </si>
  <si>
    <t xml:space="preserve">broom </t>
  </si>
  <si>
    <t>pencil</t>
  </si>
  <si>
    <t>notebok</t>
  </si>
  <si>
    <t>Food</t>
  </si>
  <si>
    <t>Days in Store</t>
  </si>
  <si>
    <t>Discounted Price</t>
  </si>
  <si>
    <t>Expired?</t>
  </si>
  <si>
    <t>Bread</t>
  </si>
  <si>
    <t>Coffee</t>
  </si>
  <si>
    <t>Milk</t>
  </si>
  <si>
    <t>Ice cream</t>
  </si>
  <si>
    <t>In the Expired cells, write an IF formula that tells if the food is expired. A Food can be expired if more than 15 days in store.</t>
  </si>
  <si>
    <t>In the discounted Price, you will check if its been in store more than 7 days, and if its true change the price to be half off.</t>
  </si>
  <si>
    <t>Items in Store</t>
  </si>
  <si>
    <t>Least expensive Item</t>
  </si>
  <si>
    <t>Most expensive Item</t>
  </si>
  <si>
    <t>In the price cells, you will put a random price that could be anything from 0 to 20 dollars</t>
  </si>
  <si>
    <t>Shopping Store</t>
  </si>
  <si>
    <t>1.  Write a formula for the cost of 1 pencil.</t>
  </si>
  <si>
    <t>&lt;-Answers</t>
  </si>
  <si>
    <t>2. Write a formula for the cost of 1 of everything.</t>
  </si>
  <si>
    <t>3. Write a formula for the cost of a pack of pencils, 1 pen and 1 notebook.</t>
  </si>
  <si>
    <t>Fruit</t>
  </si>
  <si>
    <t>1 pound</t>
  </si>
  <si>
    <t>4. Write a formula for the cost of 10 pounds of fruit.</t>
  </si>
  <si>
    <t>Computer</t>
  </si>
  <si>
    <t>5. Write a  formula that tells you the price of a computer that has 20% off.</t>
  </si>
  <si>
    <t>Fan</t>
  </si>
  <si>
    <t>6.Write a formula that gives the correct change to someone that bought 2 pieces of candy, 1 fan and 3 pounds of fruit and paid with $20.</t>
  </si>
  <si>
    <t>Pen</t>
  </si>
  <si>
    <t>Pencil</t>
  </si>
  <si>
    <t>Fish</t>
  </si>
  <si>
    <t>Water</t>
  </si>
  <si>
    <t>Rice</t>
  </si>
  <si>
    <t>1.  Which cell contains Bread?</t>
  </si>
  <si>
    <t>2. Which cells contains numbers?</t>
  </si>
  <si>
    <t>3. Which cells contains food?</t>
  </si>
  <si>
    <t>5. How many cells contain candy and which are they?</t>
  </si>
  <si>
    <t>6. How many cells are yellow?</t>
  </si>
  <si>
    <t>8. Which cells are green?</t>
  </si>
  <si>
    <t>9. Which cells contain edible things?</t>
  </si>
  <si>
    <t>10. Which cells are blue?</t>
  </si>
  <si>
    <t>12. Write a formula that adds all cells with numbers</t>
  </si>
  <si>
    <t>7. Write a formula that adds blue cells number</t>
  </si>
  <si>
    <t>4. Write  formula that adds the  green cells' numbers</t>
  </si>
  <si>
    <t>11. What is the value of A3, G1, H5 and J6</t>
  </si>
  <si>
    <t>Oral Test Date: Feb 11, 2025</t>
  </si>
  <si>
    <t>In Excel, you are going write a table of information that includes things you do daily and how many hours it takes you to do those things, they should add up to 24 hours, you will make table for each day of the week and then create charts for each.</t>
  </si>
  <si>
    <t>Monday</t>
  </si>
  <si>
    <t>Sleep</t>
  </si>
  <si>
    <t>Hours</t>
  </si>
  <si>
    <t>Breakfast</t>
  </si>
  <si>
    <t>Employee</t>
  </si>
  <si>
    <t>Tuesday</t>
  </si>
  <si>
    <t>Wednesday</t>
  </si>
  <si>
    <t>Thursday</t>
  </si>
  <si>
    <t>Friday</t>
  </si>
  <si>
    <t>Saturday</t>
  </si>
  <si>
    <t>Sunday</t>
  </si>
  <si>
    <t>Mark</t>
  </si>
  <si>
    <t>Lily</t>
  </si>
  <si>
    <t>Bob</t>
  </si>
  <si>
    <t>Emily</t>
  </si>
  <si>
    <t>Rich</t>
  </si>
  <si>
    <t>Weekly Hours</t>
  </si>
  <si>
    <t>Pay per hours is 10.50</t>
  </si>
  <si>
    <t>In overtime hours you get 1.5x more. Overtime hours are hours that are over 8 hours in 1 day and hours that are over 40 hours in a week. **Always calculate the daily ones before the weekly ones**</t>
  </si>
  <si>
    <t>Weekly Pay</t>
  </si>
  <si>
    <t>Write an IF formula that correctly figures out the daily and weekly  pay of each employee and calculates overtime if it has them.</t>
  </si>
  <si>
    <t>Daily Pay(Emily)</t>
  </si>
  <si>
    <t>Daily Pay(Mark)</t>
  </si>
  <si>
    <t>Daily Pay(Lily)</t>
  </si>
  <si>
    <t>Daily Pay(Bob)</t>
  </si>
  <si>
    <t>Daily Pay(Rich)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</si>
</sst>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164" formatCode="0.0%"/>
    <numFmt numFmtId="165" formatCode="&quot;$&quot;#,##0.00"/>
    <numFmt numFmtId="166" formatCode="_([$$-409]* #,##0.00_);_([$$-409]* \(#,##0.00\);_([$$-409]* &quot;-&quot;??_);_(@_)"/>
  </numFmts>
  <fonts count="4" x14ac:knownFonts="1">
    <font>
      <sz val="11"/>
      <color theme="1"/>
      <name val="Aptos Narrow"/>
      <family val="2"/>
      <scheme val="minor"/>
    </font>
    <font>
      <sz val="11"/>
      <color rgb="FFFF0000"/>
      <name val="Aptos Narrow"/>
      <family val="2"/>
      <scheme val="minor"/>
    </font>
    <font>
      <sz val="11"/>
      <color theme="1"/>
      <name val="Aptos Narrow"/>
      <family val="2"/>
      <scheme val="minor"/>
    </font>
    <font>
      <sz val="11"/>
      <color rgb="FF00B050"/>
      <name val="Aptos Narrow"/>
      <family val="2"/>
      <scheme val="minor"/>
    </font>
  </fonts>
  <fills count="1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00B050"/>
        <bgColor indexed="64"/>
      </patternFill>
    </fill>
    <fill>
      <patternFill patternType="solid">
        <fgColor theme="4" tint="0.39997558519241921"/>
        <bgColor indexed="64"/>
      </patternFill>
    </fill>
  </fills>
  <borders count="8">
    <border>
      <left/>
      <right/>
      <top/>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theme="6"/>
      </bottom>
      <diagonal/>
    </border>
    <border>
      <left/>
      <right style="thin">
        <color theme="6"/>
      </right>
      <top/>
      <bottom/>
      <diagonal/>
    </border>
    <border>
      <left style="thin">
        <color theme="6"/>
      </left>
      <right style="thin">
        <color theme="6"/>
      </right>
      <top style="thin">
        <color theme="6"/>
      </top>
      <bottom style="thin">
        <color theme="6"/>
      </bottom>
      <diagonal/>
    </border>
    <border>
      <left style="thin">
        <color indexed="64"/>
      </left>
      <right style="thin">
        <color indexed="64"/>
      </right>
      <top style="thin">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0">
    <xf numFmtId="0" fontId="0" fillId="0" borderId="0" xfId="0"/>
    <xf numFmtId="8" fontId="0" fillId="0" borderId="0" xfId="0" applyNumberFormat="1"/>
    <xf numFmtId="0" fontId="0" fillId="2" borderId="1" xfId="0" applyFill="1" applyBorder="1"/>
    <xf numFmtId="8" fontId="0" fillId="2" borderId="1" xfId="0" applyNumberFormat="1" applyFill="1" applyBorder="1"/>
    <xf numFmtId="0" fontId="0" fillId="3" borderId="2" xfId="0" applyFill="1" applyBorder="1"/>
    <xf numFmtId="44" fontId="0" fillId="3" borderId="2" xfId="1" applyFont="1" applyFill="1" applyBorder="1"/>
    <xf numFmtId="0" fontId="0" fillId="2" borderId="3" xfId="0" applyFill="1" applyBorder="1"/>
    <xf numFmtId="0" fontId="0" fillId="4" borderId="2" xfId="0" applyFill="1" applyBorder="1"/>
    <xf numFmtId="0" fontId="0" fillId="5" borderId="2" xfId="0" applyFill="1" applyBorder="1"/>
    <xf numFmtId="164" fontId="0" fillId="2" borderId="3" xfId="2" applyNumberFormat="1" applyFont="1" applyFill="1" applyBorder="1"/>
    <xf numFmtId="6" fontId="0" fillId="0" borderId="0" xfId="0" applyNumberFormat="1"/>
    <xf numFmtId="44" fontId="0" fillId="4" borderId="2" xfId="0" applyNumberFormat="1" applyFill="1" applyBorder="1"/>
    <xf numFmtId="44" fontId="0" fillId="0" borderId="0" xfId="0" applyNumberFormat="1"/>
    <xf numFmtId="44" fontId="0" fillId="5" borderId="2" xfId="0" applyNumberFormat="1" applyFill="1" applyBorder="1"/>
    <xf numFmtId="165" fontId="0" fillId="0" borderId="0" xfId="0" applyNumberFormat="1"/>
    <xf numFmtId="165" fontId="0" fillId="0" borderId="0" xfId="1" applyNumberFormat="1" applyFont="1"/>
    <xf numFmtId="0" fontId="1" fillId="0" borderId="0" xfId="0" applyFont="1" applyAlignment="1">
      <alignment wrapText="1"/>
    </xf>
    <xf numFmtId="0" fontId="3" fillId="0" borderId="0" xfId="0" applyFont="1" applyAlignment="1">
      <alignment wrapText="1"/>
    </xf>
    <xf numFmtId="44" fontId="0" fillId="0" borderId="0" xfId="1" applyFont="1"/>
    <xf numFmtId="0" fontId="0" fillId="2" borderId="2" xfId="0" applyFill="1" applyBorder="1"/>
    <xf numFmtId="0" fontId="0" fillId="2" borderId="0" xfId="0" applyFill="1" applyAlignment="1">
      <alignment wrapText="1"/>
    </xf>
    <xf numFmtId="0" fontId="0" fillId="0" borderId="2" xfId="0" applyBorder="1"/>
    <xf numFmtId="0" fontId="0" fillId="6" borderId="2" xfId="0" applyFill="1" applyBorder="1"/>
    <xf numFmtId="0" fontId="0" fillId="7" borderId="3" xfId="0" applyFill="1" applyBorder="1"/>
    <xf numFmtId="166" fontId="0" fillId="8" borderId="2" xfId="0" applyNumberFormat="1" applyFill="1" applyBorder="1"/>
    <xf numFmtId="166" fontId="0" fillId="2" borderId="2" xfId="0" applyNumberFormat="1" applyFill="1" applyBorder="1"/>
    <xf numFmtId="166" fontId="0" fillId="0" borderId="0" xfId="0" applyNumberFormat="1"/>
    <xf numFmtId="0" fontId="0" fillId="0" borderId="4" xfId="0" applyBorder="1"/>
    <xf numFmtId="0" fontId="0" fillId="0" borderId="0" xfId="0" applyAlignment="1">
      <alignment wrapText="1"/>
    </xf>
    <xf numFmtId="166" fontId="0" fillId="8" borderId="4" xfId="0" applyNumberFormat="1" applyFill="1" applyBorder="1"/>
    <xf numFmtId="0" fontId="0" fillId="0" borderId="5" xfId="0" applyBorder="1" applyAlignment="1">
      <alignment wrapText="1"/>
    </xf>
    <xf numFmtId="0" fontId="0" fillId="7" borderId="6" xfId="0" applyFill="1" applyBorder="1"/>
    <xf numFmtId="0" fontId="0" fillId="9" borderId="2" xfId="0" applyFill="1" applyBorder="1"/>
    <xf numFmtId="0" fontId="0" fillId="8" borderId="2" xfId="0" applyFill="1" applyBorder="1"/>
    <xf numFmtId="0" fontId="0" fillId="2" borderId="0" xfId="0" applyFill="1"/>
    <xf numFmtId="0" fontId="0" fillId="0" borderId="0" xfId="0" applyAlignment="1">
      <alignment horizontal="center"/>
    </xf>
    <xf numFmtId="0" fontId="0" fillId="0" borderId="0" xfId="0" applyAlignment="1">
      <alignment horizontal="center" wrapText="1"/>
    </xf>
    <xf numFmtId="0" fontId="0" fillId="0" borderId="0" xfId="0" applyFill="1" applyAlignment="1">
      <alignment wrapText="1"/>
    </xf>
    <xf numFmtId="0" fontId="1" fillId="0" borderId="0" xfId="0" applyFont="1" applyAlignment="1">
      <alignment horizontal="center" wrapText="1"/>
    </xf>
    <xf numFmtId="0" fontId="0" fillId="0" borderId="7" xfId="0" applyBorder="1"/>
  </cellXfs>
  <cellStyles count="3">
    <cellStyle name="Currency" xfId="1" builtinId="4"/>
    <cellStyle name="Normal" xfId="0" builtinId="0"/>
    <cellStyle name="Percent" xfId="2" builtinId="5"/>
  </cellStyles>
  <dxfs count="7">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R"/>
              <a:t>Monday Schedule</a:t>
            </a:r>
          </a:p>
        </c:rich>
      </c:tx>
      <c:layout>
        <c:manualLayout>
          <c:xMode val="edge"/>
          <c:yMode val="edge"/>
          <c:x val="0.25983089914226026"/>
          <c:y val="5.2213381426288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R"/>
        </a:p>
      </c:txPr>
    </c:title>
    <c:autoTitleDeleted val="0"/>
    <c:plotArea>
      <c:layout/>
      <c:barChart>
        <c:barDir val="col"/>
        <c:grouping val="clustered"/>
        <c:varyColors val="0"/>
        <c:ser>
          <c:idx val="0"/>
          <c:order val="0"/>
          <c:tx>
            <c:strRef>
              <c:f>Sheet7!$B$1</c:f>
              <c:strCache>
                <c:ptCount val="1"/>
                <c:pt idx="0">
                  <c:v>Hours</c:v>
                </c:pt>
              </c:strCache>
            </c:strRef>
          </c:tx>
          <c:spPr>
            <a:solidFill>
              <a:schemeClr val="accent1"/>
            </a:solidFill>
            <a:ln>
              <a:noFill/>
            </a:ln>
            <a:effectLst/>
          </c:spPr>
          <c:invertIfNegative val="0"/>
          <c:cat>
            <c:strRef>
              <c:f>Sheet7!$A$2:$A$3</c:f>
              <c:strCache>
                <c:ptCount val="2"/>
                <c:pt idx="0">
                  <c:v>Sleep</c:v>
                </c:pt>
                <c:pt idx="1">
                  <c:v>Breakfast</c:v>
                </c:pt>
              </c:strCache>
            </c:strRef>
          </c:cat>
          <c:val>
            <c:numRef>
              <c:f>Sheet7!$B$2:$B$3</c:f>
              <c:numCache>
                <c:formatCode>General</c:formatCode>
                <c:ptCount val="2"/>
                <c:pt idx="0">
                  <c:v>6</c:v>
                </c:pt>
                <c:pt idx="1">
                  <c:v>1</c:v>
                </c:pt>
              </c:numCache>
            </c:numRef>
          </c:val>
          <c:extLst>
            <c:ext xmlns:c16="http://schemas.microsoft.com/office/drawing/2014/chart" uri="{C3380CC4-5D6E-409C-BE32-E72D297353CC}">
              <c16:uniqueId val="{00000000-020D-4DBE-A4EE-F616D0BF4120}"/>
            </c:ext>
          </c:extLst>
        </c:ser>
        <c:dLbls>
          <c:showLegendKey val="0"/>
          <c:showVal val="0"/>
          <c:showCatName val="0"/>
          <c:showSerName val="0"/>
          <c:showPercent val="0"/>
          <c:showBubbleSize val="0"/>
        </c:dLbls>
        <c:gapWidth val="219"/>
        <c:overlap val="-27"/>
        <c:axId val="1176072847"/>
        <c:axId val="1176081007"/>
      </c:barChart>
      <c:catAx>
        <c:axId val="117607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Activity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R"/>
          </a:p>
        </c:txPr>
        <c:crossAx val="1176081007"/>
        <c:crosses val="autoZero"/>
        <c:auto val="1"/>
        <c:lblAlgn val="ctr"/>
        <c:lblOffset val="100"/>
        <c:noMultiLvlLbl val="0"/>
      </c:catAx>
      <c:valAx>
        <c:axId val="117608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R"/>
                  <a:t>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R"/>
          </a:p>
        </c:txPr>
        <c:crossAx val="117607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ustomXml" Target="../ink/ink3.xml"/></Relationships>
</file>

<file path=xl/drawings/drawing1.xml><?xml version="1.0" encoding="utf-8"?>
<xdr:wsDr xmlns:xdr="http://schemas.openxmlformats.org/drawingml/2006/spreadsheetDrawing" xmlns:a="http://schemas.openxmlformats.org/drawingml/2006/main">
  <xdr:twoCellAnchor editAs="oneCell">
    <xdr:from>
      <xdr:col>5</xdr:col>
      <xdr:colOff>418070</xdr:colOff>
      <xdr:row>13</xdr:row>
      <xdr:rowOff>121980</xdr:rowOff>
    </xdr:from>
    <xdr:to>
      <xdr:col>5</xdr:col>
      <xdr:colOff>423830</xdr:colOff>
      <xdr:row>13</xdr:row>
      <xdr:rowOff>128460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DB5C98B-FEBD-35EA-016B-58D008E9A5ED}"/>
                </a:ext>
              </a:extLst>
            </xdr14:cNvPr>
            <xdr14:cNvContentPartPr/>
          </xdr14:nvContentPartPr>
          <xdr14:nvPr macro=""/>
          <xdr14:xfrm>
            <a:off x="3470400" y="2598480"/>
            <a:ext cx="5760" cy="6480"/>
          </xdr14:xfrm>
        </xdr:contentPart>
      </mc:Choice>
      <mc:Fallback xmlns="">
        <xdr:pic>
          <xdr:nvPicPr>
            <xdr:cNvPr id="2" name="Ink 1">
              <a:extLst>
                <a:ext uri="{FF2B5EF4-FFF2-40B4-BE49-F238E27FC236}">
                  <a16:creationId xmlns:a16="http://schemas.microsoft.com/office/drawing/2014/main" id="{DDB5C98B-FEBD-35EA-016B-58D008E9A5ED}"/>
                </a:ext>
              </a:extLst>
            </xdr:cNvPr>
            <xdr:cNvPicPr/>
          </xdr:nvPicPr>
          <xdr:blipFill>
            <a:blip xmlns:r="http://schemas.openxmlformats.org/officeDocument/2006/relationships" r:embed="rId2"/>
            <a:stretch>
              <a:fillRect/>
            </a:stretch>
          </xdr:blipFill>
          <xdr:spPr>
            <a:xfrm>
              <a:off x="3464280" y="2592360"/>
              <a:ext cx="18000" cy="18720"/>
            </a:xfrm>
            <a:prstGeom prst="rect">
              <a:avLst/>
            </a:prstGeom>
          </xdr:spPr>
        </xdr:pic>
      </mc:Fallback>
    </mc:AlternateContent>
    <xdr:clientData/>
  </xdr:twoCellAnchor>
  <xdr:twoCellAnchor editAs="oneCell">
    <xdr:from>
      <xdr:col>5</xdr:col>
      <xdr:colOff>234470</xdr:colOff>
      <xdr:row>13</xdr:row>
      <xdr:rowOff>137100</xdr:rowOff>
    </xdr:from>
    <xdr:to>
      <xdr:col>5</xdr:col>
      <xdr:colOff>262910</xdr:colOff>
      <xdr:row>13</xdr:row>
      <xdr:rowOff>146100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846B94F-D531-BE65-4F9F-F0F4832524C7}"/>
                </a:ext>
              </a:extLst>
            </xdr14:cNvPr>
            <xdr14:cNvContentPartPr/>
          </xdr14:nvContentPartPr>
          <xdr14:nvPr macro=""/>
          <xdr14:xfrm>
            <a:off x="3286800" y="2613600"/>
            <a:ext cx="28440" cy="9000"/>
          </xdr14:xfrm>
        </xdr:contentPart>
      </mc:Choice>
      <mc:Fallback xmlns="">
        <xdr:pic>
          <xdr:nvPicPr>
            <xdr:cNvPr id="3" name="Ink 2">
              <a:extLst>
                <a:ext uri="{FF2B5EF4-FFF2-40B4-BE49-F238E27FC236}">
                  <a16:creationId xmlns:a16="http://schemas.microsoft.com/office/drawing/2014/main" id="{3846B94F-D531-BE65-4F9F-F0F4832524C7}"/>
                </a:ext>
              </a:extLst>
            </xdr:cNvPr>
            <xdr:cNvPicPr/>
          </xdr:nvPicPr>
          <xdr:blipFill>
            <a:blip xmlns:r="http://schemas.openxmlformats.org/officeDocument/2006/relationships" r:embed="rId4"/>
            <a:stretch>
              <a:fillRect/>
            </a:stretch>
          </xdr:blipFill>
          <xdr:spPr>
            <a:xfrm>
              <a:off x="3280680" y="2607480"/>
              <a:ext cx="40680" cy="212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373308</xdr:colOff>
      <xdr:row>7</xdr:row>
      <xdr:rowOff>67246</xdr:rowOff>
    </xdr:from>
    <xdr:to>
      <xdr:col>0</xdr:col>
      <xdr:colOff>3152123</xdr:colOff>
      <xdr:row>15</xdr:row>
      <xdr:rowOff>2642</xdr:rowOff>
    </xdr:to>
    <xdr:graphicFrame macro="">
      <xdr:nvGraphicFramePr>
        <xdr:cNvPr id="2" name="Chart 1">
          <a:extLst>
            <a:ext uri="{FF2B5EF4-FFF2-40B4-BE49-F238E27FC236}">
              <a16:creationId xmlns:a16="http://schemas.microsoft.com/office/drawing/2014/main" id="{134405DA-9B98-20AC-C871-0AA521F5B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132780</xdr:rowOff>
    </xdr:from>
    <xdr:to>
      <xdr:col>2</xdr:col>
      <xdr:colOff>360</xdr:colOff>
      <xdr:row>1</xdr:row>
      <xdr:rowOff>133140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91B9B16-E953-75F2-0BF7-FB221319CACD}"/>
                </a:ext>
              </a:extLst>
            </xdr14:cNvPr>
            <xdr14:cNvContentPartPr/>
          </xdr14:nvContentPartPr>
          <xdr14:nvPr macro=""/>
          <xdr14:xfrm>
            <a:off x="2114640" y="323280"/>
            <a:ext cx="360" cy="360"/>
          </xdr14:xfrm>
        </xdr:contentPart>
      </mc:Choice>
      <mc:Fallback xmlns="">
        <xdr:pic>
          <xdr:nvPicPr>
            <xdr:cNvPr id="2" name="Ink 1">
              <a:extLst>
                <a:ext uri="{FF2B5EF4-FFF2-40B4-BE49-F238E27FC236}">
                  <a16:creationId xmlns:a16="http://schemas.microsoft.com/office/drawing/2014/main" id="{E91B9B16-E953-75F2-0BF7-FB221319CACD}"/>
                </a:ext>
              </a:extLst>
            </xdr:cNvPr>
            <xdr:cNvPicPr/>
          </xdr:nvPicPr>
          <xdr:blipFill>
            <a:blip xmlns:r="http://schemas.openxmlformats.org/officeDocument/2006/relationships" r:embed="rId2"/>
            <a:stretch>
              <a:fillRect/>
            </a:stretch>
          </xdr:blipFill>
          <xdr:spPr>
            <a:xfrm>
              <a:off x="2108520" y="31716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1-31T12:31:58.204"/>
    </inkml:context>
    <inkml:brush xml:id="br0">
      <inkml:brushProperty name="width" value="0.035" units="cm"/>
      <inkml:brushProperty name="height" value="0.035" units="cm"/>
      <inkml:brushProperty name="ignorePressure" value="1"/>
    </inkml:brush>
  </inkml:definitions>
  <inkml:trace contextRef="#ctx0" brushRef="#br0">15 0,'0'0,"-2"3,0-1,-5 6,3-4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1-31T12:31:59.398"/>
    </inkml:context>
    <inkml:brush xml:id="br0">
      <inkml:brushProperty name="width" value="0.035" units="cm"/>
      <inkml:brushProperty name="height" value="0.035" units="cm"/>
    </inkml:brush>
  </inkml:definitions>
  <inkml:trace contextRef="#ctx0" brushRef="#br0">0 24 24575,'0'0'0,"0"0"0,0 0 0,0 0 0,0 0 0,0 0 0,0 0 0,0 0 0,0 0 0,0 0 0,0 0 0,14-4 0,50-15-1365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2-21T12:15:45.161"/>
    </inkml:context>
    <inkml:brush xml:id="br0">
      <inkml:brushProperty name="width" value="0.035" units="cm"/>
      <inkml:brushProperty name="height" value="0.035" units="cm"/>
      <inkml:brushProperty name="ignorePressure" value="1"/>
    </inkml:brush>
  </inkml:definitions>
  <inkml:trace contextRef="#ctx0" brushRef="#br0">1 0,'0'0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992C1-C219-4DF6-BFC1-281C3EB91E84}">
  <dimension ref="A1:H11"/>
  <sheetViews>
    <sheetView zoomScale="300" zoomScaleNormal="300" workbookViewId="0">
      <selection activeCell="E10" sqref="E10"/>
    </sheetView>
  </sheetViews>
  <sheetFormatPr defaultRowHeight="15" x14ac:dyDescent="0.25"/>
  <cols>
    <col min="1" max="1" width="13.85546875" customWidth="1"/>
    <col min="4" max="4" width="13" customWidth="1"/>
  </cols>
  <sheetData>
    <row r="1" spans="1:8" x14ac:dyDescent="0.25">
      <c r="A1" t="s">
        <v>0</v>
      </c>
      <c r="B1" t="s">
        <v>1</v>
      </c>
      <c r="C1" t="s">
        <v>6</v>
      </c>
      <c r="D1" t="s">
        <v>5</v>
      </c>
    </row>
    <row r="2" spans="1:8" x14ac:dyDescent="0.25">
      <c r="A2" t="s">
        <v>2</v>
      </c>
      <c r="B2">
        <v>200</v>
      </c>
      <c r="C2">
        <v>3</v>
      </c>
      <c r="D2">
        <v>4</v>
      </c>
    </row>
    <row r="3" spans="1:8" x14ac:dyDescent="0.25">
      <c r="A3" t="s">
        <v>3</v>
      </c>
      <c r="B3">
        <v>5</v>
      </c>
      <c r="C3">
        <v>5</v>
      </c>
      <c r="D3">
        <v>2</v>
      </c>
    </row>
    <row r="4" spans="1:8" x14ac:dyDescent="0.25">
      <c r="A4" t="s">
        <v>4</v>
      </c>
      <c r="B4">
        <v>10</v>
      </c>
      <c r="C4">
        <v>2</v>
      </c>
      <c r="D4">
        <v>3</v>
      </c>
    </row>
    <row r="5" spans="1:8" x14ac:dyDescent="0.25">
      <c r="E5" t="s">
        <v>14</v>
      </c>
    </row>
    <row r="6" spans="1:8" x14ac:dyDescent="0.25">
      <c r="D6" s="2" t="s">
        <v>10</v>
      </c>
      <c r="E6" s="2" t="s">
        <v>1</v>
      </c>
      <c r="F6" s="2" t="s">
        <v>6</v>
      </c>
      <c r="G6" s="2" t="s">
        <v>5</v>
      </c>
      <c r="H6" s="2" t="s">
        <v>12</v>
      </c>
    </row>
    <row r="7" spans="1:8" x14ac:dyDescent="0.25">
      <c r="A7" t="s">
        <v>7</v>
      </c>
      <c r="B7" s="1">
        <v>2.75</v>
      </c>
      <c r="D7" s="2" t="s">
        <v>2</v>
      </c>
      <c r="E7" s="3"/>
      <c r="F7" s="2"/>
      <c r="G7" s="2"/>
      <c r="H7" s="2"/>
    </row>
    <row r="8" spans="1:8" x14ac:dyDescent="0.25">
      <c r="A8" t="s">
        <v>8</v>
      </c>
      <c r="B8" s="1">
        <v>3</v>
      </c>
      <c r="D8" s="2" t="s">
        <v>3</v>
      </c>
      <c r="E8" s="3"/>
      <c r="F8" s="2"/>
      <c r="G8" s="2"/>
      <c r="H8" s="2"/>
    </row>
    <row r="9" spans="1:8" x14ac:dyDescent="0.25">
      <c r="A9" t="s">
        <v>9</v>
      </c>
      <c r="B9" s="1">
        <v>5</v>
      </c>
      <c r="D9" s="2" t="s">
        <v>4</v>
      </c>
      <c r="E9" s="3"/>
      <c r="F9" s="2"/>
      <c r="G9" s="2"/>
      <c r="H9" s="2"/>
    </row>
    <row r="10" spans="1:8" x14ac:dyDescent="0.25">
      <c r="D10" s="2" t="s">
        <v>11</v>
      </c>
      <c r="E10" s="2"/>
      <c r="F10" s="2"/>
      <c r="G10" s="2"/>
      <c r="H10" s="2"/>
    </row>
    <row r="11" spans="1:8" x14ac:dyDescent="0.25">
      <c r="A11" s="35" t="s">
        <v>13</v>
      </c>
      <c r="B11" s="35"/>
      <c r="C11" s="35"/>
      <c r="D11" s="35"/>
      <c r="E11" s="35"/>
      <c r="F11" s="35"/>
    </row>
  </sheetData>
  <mergeCells count="1">
    <mergeCell ref="A11: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C28D6-293D-4B78-99F0-0B9B8013D21D}">
  <dimension ref="A1:P15"/>
  <sheetViews>
    <sheetView zoomScale="190" zoomScaleNormal="190" workbookViewId="0">
      <selection activeCell="O6" sqref="O6"/>
    </sheetView>
  </sheetViews>
  <sheetFormatPr defaultRowHeight="15" x14ac:dyDescent="0.25"/>
  <cols>
    <col min="1" max="1" width="14.140625" style="4" customWidth="1"/>
    <col min="2" max="2" width="9.140625" style="5"/>
    <col min="4" max="4" width="21.140625" customWidth="1"/>
    <col min="5" max="5" width="18" style="7" bestFit="1" customWidth="1"/>
    <col min="6" max="6" width="9.140625" style="7"/>
    <col min="7" max="7" width="10.42578125" style="7" customWidth="1"/>
    <col min="8" max="8" width="45.85546875" customWidth="1"/>
    <col min="9" max="9" width="21.140625" customWidth="1"/>
    <col min="12" max="12" width="16.5703125" customWidth="1"/>
    <col min="13" max="13" width="23" customWidth="1"/>
    <col min="16" max="16" width="20.28515625" customWidth="1"/>
  </cols>
  <sheetData>
    <row r="1" spans="1:16" ht="27" customHeight="1" x14ac:dyDescent="0.25">
      <c r="A1" s="4" t="s">
        <v>15</v>
      </c>
      <c r="B1" s="5" t="s">
        <v>16</v>
      </c>
      <c r="D1" s="6" t="s">
        <v>23</v>
      </c>
      <c r="E1" s="7" t="s">
        <v>34</v>
      </c>
      <c r="F1" s="7" t="s">
        <v>32</v>
      </c>
      <c r="G1" s="7" t="s">
        <v>12</v>
      </c>
      <c r="H1" s="36" t="s">
        <v>31</v>
      </c>
      <c r="I1" s="7" t="s">
        <v>36</v>
      </c>
      <c r="J1" s="7" t="s">
        <v>32</v>
      </c>
      <c r="K1" s="7" t="s">
        <v>12</v>
      </c>
      <c r="M1" s="7" t="s">
        <v>37</v>
      </c>
      <c r="N1" s="7" t="s">
        <v>32</v>
      </c>
      <c r="O1" s="7" t="s">
        <v>12</v>
      </c>
    </row>
    <row r="2" spans="1:16" x14ac:dyDescent="0.25">
      <c r="A2" s="4" t="s">
        <v>17</v>
      </c>
      <c r="B2" s="5">
        <v>3.99</v>
      </c>
      <c r="D2" s="9">
        <v>0.115</v>
      </c>
      <c r="E2" s="7" t="str">
        <f>A9</f>
        <v>TV</v>
      </c>
      <c r="F2" s="7">
        <v>1</v>
      </c>
      <c r="G2" s="11"/>
      <c r="H2" s="36"/>
      <c r="I2" s="7" t="s">
        <v>19</v>
      </c>
      <c r="J2" s="7">
        <v>1</v>
      </c>
      <c r="K2" s="11"/>
      <c r="M2" s="7" t="s">
        <v>41</v>
      </c>
      <c r="N2" s="7">
        <v>13</v>
      </c>
      <c r="O2" s="11"/>
    </row>
    <row r="3" spans="1:16" x14ac:dyDescent="0.25">
      <c r="A3" s="4" t="s">
        <v>18</v>
      </c>
      <c r="B3" s="5">
        <v>1</v>
      </c>
      <c r="D3" s="10"/>
      <c r="E3" s="7" t="str">
        <f>A10</f>
        <v>Cookies</v>
      </c>
      <c r="F3" s="7">
        <v>3</v>
      </c>
      <c r="G3" s="11"/>
      <c r="H3" s="36"/>
      <c r="I3" s="7" t="s">
        <v>17</v>
      </c>
      <c r="J3" s="7">
        <v>2</v>
      </c>
      <c r="K3" s="11"/>
      <c r="M3" s="7" t="s">
        <v>42</v>
      </c>
      <c r="N3" s="7">
        <v>5</v>
      </c>
      <c r="O3" s="11"/>
    </row>
    <row r="4" spans="1:16" x14ac:dyDescent="0.25">
      <c r="A4" s="4" t="s">
        <v>19</v>
      </c>
      <c r="B4" s="5">
        <v>5.99</v>
      </c>
      <c r="C4" t="s">
        <v>23</v>
      </c>
      <c r="D4" s="1"/>
      <c r="E4" s="7" t="str">
        <f>A7</f>
        <v>Juice</v>
      </c>
      <c r="F4" s="7">
        <v>1</v>
      </c>
      <c r="G4" s="11"/>
      <c r="H4" s="36"/>
      <c r="I4" s="7" t="s">
        <v>39</v>
      </c>
      <c r="J4" s="7">
        <v>1</v>
      </c>
      <c r="K4" s="11"/>
      <c r="M4" s="7" t="s">
        <v>43</v>
      </c>
      <c r="N4" s="7">
        <v>1</v>
      </c>
      <c r="O4" s="11"/>
    </row>
    <row r="5" spans="1:16" x14ac:dyDescent="0.25">
      <c r="A5" s="4" t="s">
        <v>20</v>
      </c>
      <c r="B5" s="5">
        <v>6.99</v>
      </c>
      <c r="C5" t="s">
        <v>35</v>
      </c>
      <c r="D5" s="1"/>
      <c r="H5" s="36"/>
      <c r="I5" s="7" t="s">
        <v>40</v>
      </c>
      <c r="J5" s="7">
        <v>4</v>
      </c>
      <c r="K5" s="11"/>
      <c r="M5" s="7" t="s">
        <v>44</v>
      </c>
      <c r="N5" s="7">
        <v>10</v>
      </c>
      <c r="O5" s="11"/>
    </row>
    <row r="6" spans="1:16" x14ac:dyDescent="0.25">
      <c r="A6" s="4" t="s">
        <v>21</v>
      </c>
      <c r="B6" s="5">
        <v>4.99</v>
      </c>
      <c r="H6" s="36"/>
      <c r="I6" s="7"/>
      <c r="J6" s="7"/>
      <c r="K6" s="7"/>
      <c r="M6" s="7" t="s">
        <v>45</v>
      </c>
      <c r="N6" s="7">
        <v>10</v>
      </c>
      <c r="O6" s="11"/>
    </row>
    <row r="7" spans="1:16" x14ac:dyDescent="0.25">
      <c r="A7" s="4" t="s">
        <v>22</v>
      </c>
      <c r="B7" s="5">
        <v>2.4900000000000002</v>
      </c>
      <c r="H7" s="36"/>
      <c r="I7" s="7"/>
      <c r="J7" s="7"/>
      <c r="K7" s="7"/>
      <c r="M7" s="7"/>
      <c r="N7" s="7"/>
      <c r="O7" s="7"/>
    </row>
    <row r="8" spans="1:16" x14ac:dyDescent="0.25">
      <c r="A8" s="4" t="s">
        <v>24</v>
      </c>
      <c r="B8" s="5">
        <v>4.5</v>
      </c>
      <c r="H8" s="36"/>
      <c r="I8" s="7"/>
      <c r="J8" s="7"/>
      <c r="K8" s="7"/>
      <c r="L8" s="12"/>
      <c r="M8" s="7"/>
      <c r="N8" s="7"/>
      <c r="O8" s="7"/>
    </row>
    <row r="9" spans="1:16" x14ac:dyDescent="0.25">
      <c r="A9" s="4" t="s">
        <v>25</v>
      </c>
      <c r="B9" s="5">
        <v>50</v>
      </c>
      <c r="D9" s="12"/>
      <c r="I9" s="7"/>
      <c r="J9" s="7"/>
      <c r="K9" s="7"/>
      <c r="L9" s="14"/>
      <c r="M9" s="7"/>
      <c r="N9" s="7"/>
      <c r="O9" s="7"/>
      <c r="P9" s="12"/>
    </row>
    <row r="10" spans="1:16" x14ac:dyDescent="0.25">
      <c r="A10" s="4" t="s">
        <v>26</v>
      </c>
      <c r="B10" s="5">
        <v>6.99</v>
      </c>
      <c r="I10" s="7"/>
      <c r="J10" s="7"/>
      <c r="K10" s="7"/>
      <c r="M10" s="7"/>
      <c r="N10" s="7"/>
      <c r="O10" s="7"/>
      <c r="P10" s="12"/>
    </row>
    <row r="11" spans="1:16" x14ac:dyDescent="0.25">
      <c r="A11" s="4" t="s">
        <v>27</v>
      </c>
      <c r="B11" s="5">
        <v>1.99</v>
      </c>
      <c r="H11" s="8" t="s">
        <v>33</v>
      </c>
      <c r="I11" s="7"/>
      <c r="J11" s="7"/>
      <c r="K11" s="7"/>
      <c r="L11" s="8" t="s">
        <v>33</v>
      </c>
      <c r="M11" s="7"/>
      <c r="N11" s="7"/>
      <c r="O11" s="7"/>
      <c r="P11" s="8" t="s">
        <v>33</v>
      </c>
    </row>
    <row r="12" spans="1:16" x14ac:dyDescent="0.25">
      <c r="A12" s="4" t="s">
        <v>28</v>
      </c>
      <c r="B12" s="5">
        <v>2.99</v>
      </c>
      <c r="H12" s="13" t="s">
        <v>38</v>
      </c>
      <c r="I12" s="7"/>
      <c r="J12" s="7"/>
      <c r="K12" s="7"/>
      <c r="L12" s="13">
        <f>L8+L9</f>
        <v>0</v>
      </c>
      <c r="M12" s="7"/>
      <c r="N12" s="7"/>
      <c r="O12" s="7"/>
      <c r="P12" s="13"/>
    </row>
    <row r="13" spans="1:16" x14ac:dyDescent="0.25">
      <c r="A13" s="4" t="s">
        <v>29</v>
      </c>
      <c r="B13" s="5">
        <v>0.99</v>
      </c>
      <c r="I13" s="7"/>
      <c r="J13" s="7"/>
      <c r="K13" s="7"/>
      <c r="M13" s="7"/>
      <c r="N13" s="7"/>
      <c r="O13" s="7"/>
    </row>
    <row r="14" spans="1:16" x14ac:dyDescent="0.25">
      <c r="A14" s="4" t="s">
        <v>30</v>
      </c>
      <c r="B14" s="5">
        <v>2</v>
      </c>
      <c r="I14" s="7"/>
      <c r="J14" s="7"/>
      <c r="K14" s="7"/>
      <c r="M14" s="7"/>
      <c r="N14" s="7"/>
      <c r="O14" s="7"/>
    </row>
    <row r="15" spans="1:16" x14ac:dyDescent="0.25">
      <c r="H15" s="12"/>
      <c r="I15" s="7"/>
      <c r="J15" s="7"/>
      <c r="K15" s="7"/>
      <c r="M15" s="7"/>
      <c r="N15" s="7"/>
      <c r="O15" s="7"/>
    </row>
  </sheetData>
  <mergeCells count="1">
    <mergeCell ref="H1: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513C-2F50-473A-8C36-A4EED5DBECF4}">
  <dimension ref="A1:F11"/>
  <sheetViews>
    <sheetView zoomScale="200" zoomScaleNormal="200" workbookViewId="0">
      <selection activeCell="D2" sqref="D2"/>
    </sheetView>
  </sheetViews>
  <sheetFormatPr defaultRowHeight="15" x14ac:dyDescent="0.25"/>
  <cols>
    <col min="1" max="1" width="19.85546875" customWidth="1"/>
    <col min="2" max="2" width="15.85546875" customWidth="1"/>
    <col min="3" max="3" width="15.42578125" customWidth="1"/>
    <col min="4" max="4" width="16.140625" customWidth="1"/>
    <col min="5" max="5" width="23.5703125" customWidth="1"/>
    <col min="6" max="6" width="22.140625" customWidth="1"/>
  </cols>
  <sheetData>
    <row r="1" spans="1:6" x14ac:dyDescent="0.25">
      <c r="A1" t="s">
        <v>46</v>
      </c>
      <c r="B1" t="s">
        <v>16</v>
      </c>
      <c r="C1" t="s">
        <v>47</v>
      </c>
      <c r="D1" t="s">
        <v>48</v>
      </c>
      <c r="E1" t="s">
        <v>49</v>
      </c>
    </row>
    <row r="2" spans="1:6" x14ac:dyDescent="0.25">
      <c r="A2" t="s">
        <v>18</v>
      </c>
      <c r="B2" s="15">
        <v>1</v>
      </c>
      <c r="C2">
        <v>15</v>
      </c>
      <c r="D2" s="18"/>
    </row>
    <row r="3" spans="1:6" x14ac:dyDescent="0.25">
      <c r="A3" t="s">
        <v>19</v>
      </c>
      <c r="B3" s="15">
        <v>2.25</v>
      </c>
      <c r="C3">
        <v>20</v>
      </c>
      <c r="D3" s="18"/>
    </row>
    <row r="4" spans="1:6" x14ac:dyDescent="0.25">
      <c r="A4" t="s">
        <v>28</v>
      </c>
      <c r="B4" s="15">
        <v>1.5</v>
      </c>
      <c r="C4">
        <v>2</v>
      </c>
      <c r="D4" s="18"/>
    </row>
    <row r="5" spans="1:6" x14ac:dyDescent="0.25">
      <c r="A5" t="s">
        <v>50</v>
      </c>
      <c r="B5" s="15">
        <v>2</v>
      </c>
      <c r="C5">
        <v>5</v>
      </c>
      <c r="D5" s="18"/>
    </row>
    <row r="6" spans="1:6" x14ac:dyDescent="0.25">
      <c r="A6" t="s">
        <v>39</v>
      </c>
      <c r="B6" s="15">
        <v>6</v>
      </c>
      <c r="C6">
        <v>2</v>
      </c>
      <c r="D6" s="18"/>
    </row>
    <row r="7" spans="1:6" x14ac:dyDescent="0.25">
      <c r="A7" t="s">
        <v>17</v>
      </c>
      <c r="B7" s="15">
        <v>1.5</v>
      </c>
      <c r="C7">
        <v>30</v>
      </c>
      <c r="D7" s="18"/>
    </row>
    <row r="8" spans="1:6" x14ac:dyDescent="0.25">
      <c r="A8" t="s">
        <v>51</v>
      </c>
      <c r="B8" s="15">
        <v>3</v>
      </c>
      <c r="C8">
        <v>15</v>
      </c>
      <c r="D8" s="18"/>
    </row>
    <row r="9" spans="1:6" x14ac:dyDescent="0.25">
      <c r="A9" t="s">
        <v>52</v>
      </c>
      <c r="B9" s="15">
        <v>2.15</v>
      </c>
      <c r="C9">
        <v>20</v>
      </c>
      <c r="D9" s="18"/>
    </row>
    <row r="10" spans="1:6" x14ac:dyDescent="0.25">
      <c r="A10" t="s">
        <v>53</v>
      </c>
      <c r="B10" s="15">
        <v>3</v>
      </c>
      <c r="C10">
        <v>11</v>
      </c>
      <c r="D10" s="18"/>
    </row>
    <row r="11" spans="1:6" ht="90" x14ac:dyDescent="0.25">
      <c r="E11" s="17" t="s">
        <v>55</v>
      </c>
      <c r="F11" s="16"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2EC9-DED9-4410-A230-D667E813EF7E}">
  <dimension ref="A1:E16"/>
  <sheetViews>
    <sheetView zoomScale="200" zoomScaleNormal="200" workbookViewId="0">
      <selection activeCell="B2" sqref="B2"/>
    </sheetView>
  </sheetViews>
  <sheetFormatPr defaultRowHeight="15" x14ac:dyDescent="0.25"/>
  <cols>
    <col min="1" max="1" width="20.85546875" customWidth="1"/>
    <col min="2" max="2" width="12.42578125" customWidth="1"/>
    <col min="5" max="5" width="43.42578125" customWidth="1"/>
  </cols>
  <sheetData>
    <row r="1" spans="1:5" ht="38.25" customHeight="1" x14ac:dyDescent="0.25">
      <c r="A1" t="s">
        <v>46</v>
      </c>
      <c r="B1" s="19" t="s">
        <v>16</v>
      </c>
      <c r="E1" s="20" t="s">
        <v>59</v>
      </c>
    </row>
    <row r="2" spans="1:5" x14ac:dyDescent="0.25">
      <c r="A2" t="s">
        <v>18</v>
      </c>
      <c r="B2" s="19"/>
    </row>
    <row r="3" spans="1:5" x14ac:dyDescent="0.25">
      <c r="A3" t="s">
        <v>19</v>
      </c>
      <c r="B3" s="19"/>
    </row>
    <row r="4" spans="1:5" x14ac:dyDescent="0.25">
      <c r="A4" t="s">
        <v>28</v>
      </c>
      <c r="B4" s="19"/>
    </row>
    <row r="5" spans="1:5" x14ac:dyDescent="0.25">
      <c r="A5" t="s">
        <v>50</v>
      </c>
      <c r="B5" s="19"/>
    </row>
    <row r="6" spans="1:5" x14ac:dyDescent="0.25">
      <c r="A6" t="s">
        <v>39</v>
      </c>
      <c r="B6" s="19"/>
    </row>
    <row r="7" spans="1:5" x14ac:dyDescent="0.25">
      <c r="A7" t="s">
        <v>17</v>
      </c>
      <c r="B7" s="19"/>
    </row>
    <row r="8" spans="1:5" x14ac:dyDescent="0.25">
      <c r="A8" t="s">
        <v>51</v>
      </c>
      <c r="B8" s="19"/>
    </row>
    <row r="9" spans="1:5" x14ac:dyDescent="0.25">
      <c r="A9" t="s">
        <v>52</v>
      </c>
      <c r="B9" s="19"/>
    </row>
    <row r="10" spans="1:5" x14ac:dyDescent="0.25">
      <c r="A10" t="s">
        <v>53</v>
      </c>
      <c r="B10" s="19"/>
    </row>
    <row r="13" spans="1:5" x14ac:dyDescent="0.25">
      <c r="A13" s="19" t="s">
        <v>56</v>
      </c>
      <c r="B13" s="19"/>
    </row>
    <row r="14" spans="1:5" x14ac:dyDescent="0.25">
      <c r="A14" s="21"/>
      <c r="B14" s="21"/>
    </row>
    <row r="15" spans="1:5" x14ac:dyDescent="0.25">
      <c r="A15" s="19" t="s">
        <v>57</v>
      </c>
      <c r="B15" s="19"/>
    </row>
    <row r="16" spans="1:5" x14ac:dyDescent="0.25">
      <c r="A16" s="19" t="s">
        <v>58</v>
      </c>
      <c r="B16"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6E508-6857-40DD-99CB-65AFD7211FB0}">
  <dimension ref="A1:G9"/>
  <sheetViews>
    <sheetView zoomScale="235" zoomScaleNormal="235" workbookViewId="0">
      <selection activeCell="E5" sqref="E5"/>
    </sheetView>
  </sheetViews>
  <sheetFormatPr defaultRowHeight="15" x14ac:dyDescent="0.25"/>
  <cols>
    <col min="1" max="1" width="14.42578125" customWidth="1"/>
    <col min="5" max="5" width="43.85546875" customWidth="1"/>
  </cols>
  <sheetData>
    <row r="1" spans="1:7" x14ac:dyDescent="0.25">
      <c r="A1" s="22" t="s">
        <v>60</v>
      </c>
      <c r="B1" s="22" t="s">
        <v>16</v>
      </c>
      <c r="C1" s="22" t="s">
        <v>32</v>
      </c>
      <c r="E1" s="23" t="s">
        <v>61</v>
      </c>
      <c r="F1" s="24"/>
      <c r="G1" t="s">
        <v>62</v>
      </c>
    </row>
    <row r="2" spans="1:7" ht="21.75" customHeight="1" x14ac:dyDescent="0.25">
      <c r="A2" s="19" t="s">
        <v>18</v>
      </c>
      <c r="B2" s="25">
        <v>0.5</v>
      </c>
      <c r="C2" s="19">
        <v>1</v>
      </c>
      <c r="D2" s="26"/>
      <c r="E2" s="27" t="s">
        <v>63</v>
      </c>
      <c r="F2" s="24"/>
      <c r="G2" s="28"/>
    </row>
    <row r="3" spans="1:7" ht="35.25" customHeight="1" x14ac:dyDescent="0.25">
      <c r="A3" s="19" t="s">
        <v>24</v>
      </c>
      <c r="B3" s="25">
        <v>1</v>
      </c>
      <c r="C3" s="19">
        <v>1</v>
      </c>
      <c r="D3" s="26"/>
      <c r="E3" s="28" t="s">
        <v>64</v>
      </c>
      <c r="F3" s="24"/>
    </row>
    <row r="4" spans="1:7" x14ac:dyDescent="0.25">
      <c r="A4" s="19" t="s">
        <v>65</v>
      </c>
      <c r="B4" s="25">
        <v>0.75</v>
      </c>
      <c r="C4" s="19" t="s">
        <v>66</v>
      </c>
      <c r="E4" t="s">
        <v>67</v>
      </c>
      <c r="F4" s="24"/>
    </row>
    <row r="5" spans="1:7" ht="33.75" customHeight="1" x14ac:dyDescent="0.25">
      <c r="A5" s="19" t="s">
        <v>68</v>
      </c>
      <c r="B5" s="25">
        <v>300</v>
      </c>
      <c r="C5" s="19">
        <v>1</v>
      </c>
      <c r="E5" s="28" t="s">
        <v>69</v>
      </c>
      <c r="F5" s="24"/>
    </row>
    <row r="6" spans="1:7" ht="45" customHeight="1" x14ac:dyDescent="0.25">
      <c r="A6" s="19" t="s">
        <v>70</v>
      </c>
      <c r="B6" s="25">
        <v>15</v>
      </c>
      <c r="C6" s="19">
        <v>1</v>
      </c>
      <c r="E6" s="28" t="s">
        <v>71</v>
      </c>
      <c r="F6" s="29"/>
    </row>
    <row r="7" spans="1:7" x14ac:dyDescent="0.25">
      <c r="A7" s="19" t="s">
        <v>72</v>
      </c>
      <c r="B7" s="25">
        <v>2.5</v>
      </c>
      <c r="C7" s="19">
        <v>1</v>
      </c>
      <c r="E7" s="30"/>
      <c r="F7" s="31"/>
    </row>
    <row r="8" spans="1:7" x14ac:dyDescent="0.25">
      <c r="A8" s="19" t="s">
        <v>73</v>
      </c>
      <c r="B8" s="25">
        <v>40</v>
      </c>
      <c r="C8" s="19">
        <v>5</v>
      </c>
    </row>
    <row r="9" spans="1:7" x14ac:dyDescent="0.25">
      <c r="A9" s="19" t="s">
        <v>30</v>
      </c>
      <c r="B9" s="25">
        <v>3</v>
      </c>
      <c r="C9" s="19">
        <v>1</v>
      </c>
      <c r="E9"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C72C-B707-44B1-8C2A-D84D690150DF}">
  <dimension ref="A1:J15"/>
  <sheetViews>
    <sheetView zoomScale="220" zoomScaleNormal="220" workbookViewId="0">
      <selection activeCell="G1" sqref="G1"/>
    </sheetView>
  </sheetViews>
  <sheetFormatPr defaultRowHeight="15" x14ac:dyDescent="0.25"/>
  <sheetData>
    <row r="1" spans="1:10" x14ac:dyDescent="0.25">
      <c r="A1" s="33"/>
      <c r="B1" s="4" t="s">
        <v>74</v>
      </c>
      <c r="C1" s="8">
        <v>13</v>
      </c>
      <c r="D1" s="4"/>
      <c r="E1" s="8">
        <v>6</v>
      </c>
      <c r="F1" s="4"/>
      <c r="G1" s="4">
        <v>12</v>
      </c>
      <c r="H1" s="4"/>
      <c r="I1" s="4"/>
      <c r="J1" s="4"/>
    </row>
    <row r="2" spans="1:10" x14ac:dyDescent="0.25">
      <c r="A2" s="4"/>
      <c r="B2" s="32"/>
      <c r="C2" s="4"/>
      <c r="D2" s="4"/>
      <c r="E2" s="4"/>
      <c r="F2" s="4"/>
      <c r="G2" s="4"/>
      <c r="H2" s="32">
        <v>12</v>
      </c>
      <c r="I2" s="4"/>
      <c r="J2" s="4"/>
    </row>
    <row r="3" spans="1:10" x14ac:dyDescent="0.25">
      <c r="A3" s="32" t="s">
        <v>18</v>
      </c>
      <c r="B3" s="4">
        <v>5</v>
      </c>
      <c r="C3" s="4"/>
      <c r="D3" s="33">
        <v>24</v>
      </c>
      <c r="E3" s="4"/>
      <c r="F3" s="33">
        <v>40</v>
      </c>
      <c r="G3" s="4"/>
      <c r="H3" s="4"/>
      <c r="I3" s="33"/>
      <c r="J3" s="4" t="s">
        <v>75</v>
      </c>
    </row>
    <row r="4" spans="1:10" x14ac:dyDescent="0.25">
      <c r="A4" s="4"/>
      <c r="B4" s="4"/>
      <c r="C4" s="33"/>
      <c r="D4" s="4"/>
      <c r="E4" s="32" t="s">
        <v>50</v>
      </c>
      <c r="F4" s="4"/>
      <c r="G4" s="8" t="s">
        <v>46</v>
      </c>
      <c r="H4" s="4"/>
      <c r="I4" s="4"/>
      <c r="J4" s="4"/>
    </row>
    <row r="5" spans="1:10" x14ac:dyDescent="0.25">
      <c r="A5" s="33" t="s">
        <v>26</v>
      </c>
      <c r="B5" s="4"/>
      <c r="C5" s="4"/>
      <c r="D5" s="4">
        <v>4</v>
      </c>
      <c r="E5" s="4"/>
      <c r="F5" s="4"/>
      <c r="G5" s="4"/>
      <c r="H5" s="4">
        <v>13</v>
      </c>
      <c r="I5" s="4"/>
      <c r="J5" s="4"/>
    </row>
    <row r="6" spans="1:10" x14ac:dyDescent="0.25">
      <c r="A6" s="4"/>
      <c r="B6" s="32"/>
      <c r="C6" s="4">
        <v>45</v>
      </c>
      <c r="D6" s="33"/>
      <c r="E6" s="4"/>
      <c r="F6" s="4"/>
      <c r="G6" s="4" t="s">
        <v>76</v>
      </c>
      <c r="H6" s="32"/>
      <c r="I6" s="4"/>
      <c r="J6" s="4" t="s">
        <v>17</v>
      </c>
    </row>
    <row r="7" spans="1:10" x14ac:dyDescent="0.25">
      <c r="A7" s="4"/>
      <c r="B7" s="4" t="s">
        <v>50</v>
      </c>
      <c r="C7" s="4"/>
      <c r="D7" s="4"/>
      <c r="E7" s="4"/>
      <c r="F7" s="4" t="s">
        <v>18</v>
      </c>
      <c r="G7" s="33"/>
      <c r="H7" s="8">
        <v>7</v>
      </c>
      <c r="I7" s="4"/>
      <c r="J7" s="4"/>
    </row>
    <row r="9" spans="1:10" x14ac:dyDescent="0.25">
      <c r="A9" s="34" t="s">
        <v>89</v>
      </c>
      <c r="B9" s="34"/>
      <c r="C9" s="34"/>
      <c r="D9" s="34"/>
      <c r="E9" s="34"/>
    </row>
    <row r="10" spans="1:10" x14ac:dyDescent="0.25">
      <c r="A10" t="s">
        <v>77</v>
      </c>
      <c r="F10" t="s">
        <v>86</v>
      </c>
    </row>
    <row r="11" spans="1:10" x14ac:dyDescent="0.25">
      <c r="A11" t="s">
        <v>78</v>
      </c>
      <c r="F11" t="s">
        <v>82</v>
      </c>
    </row>
    <row r="12" spans="1:10" x14ac:dyDescent="0.25">
      <c r="A12" t="s">
        <v>79</v>
      </c>
      <c r="F12" t="s">
        <v>83</v>
      </c>
    </row>
    <row r="13" spans="1:10" x14ac:dyDescent="0.25">
      <c r="A13" t="s">
        <v>87</v>
      </c>
      <c r="F13" t="s">
        <v>84</v>
      </c>
    </row>
    <row r="14" spans="1:10" x14ac:dyDescent="0.25">
      <c r="A14" t="s">
        <v>80</v>
      </c>
      <c r="F14" t="s">
        <v>88</v>
      </c>
    </row>
    <row r="15" spans="1:10" x14ac:dyDescent="0.25">
      <c r="A15" t="s">
        <v>81</v>
      </c>
      <c r="F15" t="s">
        <v>85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C605-904C-4D68-BC73-25CF090274B6}">
  <dimension ref="A1:B7"/>
  <sheetViews>
    <sheetView zoomScale="210" zoomScaleNormal="210" workbookViewId="0">
      <selection activeCell="A4" sqref="A4"/>
    </sheetView>
  </sheetViews>
  <sheetFormatPr defaultRowHeight="15" x14ac:dyDescent="0.25"/>
  <cols>
    <col min="1" max="1" width="77.140625" customWidth="1"/>
    <col min="2" max="2" width="10.7109375" customWidth="1"/>
    <col min="3" max="3" width="9.5703125" customWidth="1"/>
  </cols>
  <sheetData>
    <row r="1" spans="1:2" x14ac:dyDescent="0.25">
      <c r="A1" t="s">
        <v>91</v>
      </c>
      <c r="B1" t="s">
        <v>93</v>
      </c>
    </row>
    <row r="2" spans="1:2" x14ac:dyDescent="0.25">
      <c r="A2" t="s">
        <v>92</v>
      </c>
      <c r="B2">
        <v>6</v>
      </c>
    </row>
    <row r="3" spans="1:2" x14ac:dyDescent="0.25">
      <c r="A3" t="s">
        <v>94</v>
      </c>
      <c r="B3">
        <v>1</v>
      </c>
    </row>
    <row r="7" spans="1:2" ht="45" x14ac:dyDescent="0.25">
      <c r="A7" s="16" t="s">
        <v>90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3A0F-354C-4314-9DAD-DD8B1B3B6B20}">
  <dimension ref="A1:J13"/>
  <sheetViews>
    <sheetView tabSelected="1" zoomScale="220" zoomScaleNormal="220" workbookViewId="0">
      <selection activeCell="J3" sqref="J3"/>
    </sheetView>
  </sheetViews>
  <sheetFormatPr defaultRowHeight="15" x14ac:dyDescent="0.25"/>
  <cols>
    <col min="1" max="1" width="15.42578125" customWidth="1"/>
    <col min="4" max="5" width="11.28515625" customWidth="1"/>
    <col min="6" max="6" width="8.85546875" customWidth="1"/>
    <col min="8" max="8" width="9.85546875" customWidth="1"/>
    <col min="9" max="9" width="12.85546875" customWidth="1"/>
    <col min="10" max="10" width="11.28515625" customWidth="1"/>
  </cols>
  <sheetData>
    <row r="1" spans="1:10" x14ac:dyDescent="0.25">
      <c r="A1" t="s">
        <v>95</v>
      </c>
      <c r="B1" t="s">
        <v>91</v>
      </c>
      <c r="C1" t="s">
        <v>96</v>
      </c>
      <c r="D1" t="s">
        <v>97</v>
      </c>
      <c r="E1" t="s">
        <v>98</v>
      </c>
      <c r="F1" t="s">
        <v>99</v>
      </c>
      <c r="G1" t="s">
        <v>100</v>
      </c>
      <c r="H1" t="s">
        <v>101</v>
      </c>
      <c r="I1" t="s">
        <v>107</v>
      </c>
      <c r="J1" t="s">
        <v>110</v>
      </c>
    </row>
    <row r="2" spans="1:10" x14ac:dyDescent="0.25">
      <c r="A2" t="s">
        <v>102</v>
      </c>
      <c r="B2" s="21">
        <v>5</v>
      </c>
      <c r="C2" s="21">
        <v>5</v>
      </c>
      <c r="D2" s="21">
        <v>5</v>
      </c>
      <c r="E2" s="21">
        <v>8</v>
      </c>
      <c r="F2" s="21">
        <v>5</v>
      </c>
      <c r="G2" s="21">
        <v>0</v>
      </c>
      <c r="H2" s="21">
        <v>0</v>
      </c>
      <c r="I2">
        <f>SUM(B2:H2)</f>
        <v>28</v>
      </c>
      <c r="J2">
        <f>B7+C7+D7+E7+F7+G7+H7</f>
        <v>294</v>
      </c>
    </row>
    <row r="3" spans="1:10" x14ac:dyDescent="0.25">
      <c r="A3" t="s">
        <v>103</v>
      </c>
      <c r="B3" s="21">
        <v>6</v>
      </c>
      <c r="C3" s="21">
        <v>8</v>
      </c>
      <c r="D3" s="21">
        <v>0</v>
      </c>
      <c r="E3" s="21">
        <v>5</v>
      </c>
      <c r="F3" s="21">
        <v>5</v>
      </c>
      <c r="G3" s="21">
        <v>8</v>
      </c>
      <c r="H3" s="21">
        <v>0</v>
      </c>
      <c r="I3">
        <f t="shared" ref="I3:I6" si="0">SUM(B3:H3)</f>
        <v>32</v>
      </c>
      <c r="J3">
        <f t="shared" ref="J3:J6" si="1">B8+C8+D8+E8+F8+G8+H8</f>
        <v>336</v>
      </c>
    </row>
    <row r="4" spans="1:10" x14ac:dyDescent="0.25">
      <c r="A4" t="s">
        <v>104</v>
      </c>
      <c r="B4" s="21">
        <v>0</v>
      </c>
      <c r="C4" s="21">
        <v>4</v>
      </c>
      <c r="D4" s="21">
        <v>3</v>
      </c>
      <c r="E4" s="21">
        <v>5</v>
      </c>
      <c r="F4" s="21">
        <v>5</v>
      </c>
      <c r="G4" s="21">
        <v>5</v>
      </c>
      <c r="H4" s="21">
        <v>5</v>
      </c>
      <c r="I4">
        <f t="shared" si="0"/>
        <v>27</v>
      </c>
      <c r="J4">
        <f t="shared" si="1"/>
        <v>283.5</v>
      </c>
    </row>
    <row r="5" spans="1:10" x14ac:dyDescent="0.25">
      <c r="A5" t="s">
        <v>105</v>
      </c>
      <c r="B5" s="21">
        <v>9</v>
      </c>
      <c r="C5" s="21">
        <v>0</v>
      </c>
      <c r="D5" s="21">
        <v>5</v>
      </c>
      <c r="E5" s="21">
        <v>8</v>
      </c>
      <c r="F5" s="21">
        <v>5</v>
      </c>
      <c r="G5" s="21">
        <v>8</v>
      </c>
      <c r="H5" s="21">
        <v>4</v>
      </c>
      <c r="I5">
        <f t="shared" si="0"/>
        <v>39</v>
      </c>
      <c r="J5">
        <f t="shared" si="1"/>
        <v>414.75</v>
      </c>
    </row>
    <row r="6" spans="1:10" ht="24" customHeight="1" x14ac:dyDescent="0.25">
      <c r="A6" t="s">
        <v>106</v>
      </c>
      <c r="B6" s="39">
        <v>8</v>
      </c>
      <c r="C6" s="39">
        <v>5</v>
      </c>
      <c r="D6" s="39">
        <v>0</v>
      </c>
      <c r="E6" s="39">
        <v>5</v>
      </c>
      <c r="F6" s="39">
        <v>5</v>
      </c>
      <c r="G6" s="39">
        <v>0</v>
      </c>
      <c r="H6" s="39">
        <v>8</v>
      </c>
      <c r="I6">
        <f t="shared" si="0"/>
        <v>31</v>
      </c>
      <c r="J6">
        <f t="shared" si="1"/>
        <v>325.5</v>
      </c>
    </row>
    <row r="7" spans="1:10" ht="26.25" customHeight="1" x14ac:dyDescent="0.25">
      <c r="A7" s="22" t="s">
        <v>113</v>
      </c>
      <c r="B7" s="22">
        <f>IF(B2&gt;8,(8*10.5)+((B2-8)*(10.5*1.5)),B2 * 10.5)</f>
        <v>52.5</v>
      </c>
      <c r="C7" s="22">
        <f t="shared" ref="C7:H7" si="2">IF(C2&gt;8,(8*10.5)+((C2-8)*(10.5*1.5)),C2 * 10.5)</f>
        <v>52.5</v>
      </c>
      <c r="D7" s="22">
        <f t="shared" si="2"/>
        <v>52.5</v>
      </c>
      <c r="E7" s="22">
        <f t="shared" si="2"/>
        <v>84</v>
      </c>
      <c r="F7" s="22">
        <f t="shared" si="2"/>
        <v>52.5</v>
      </c>
      <c r="G7" s="22">
        <f t="shared" si="2"/>
        <v>0</v>
      </c>
      <c r="H7" s="22">
        <f>IF(H2&gt;8,(8*10.5)+((H2-8)*(10.5*1.5)),H2 * 10.5)</f>
        <v>0</v>
      </c>
    </row>
    <row r="8" spans="1:10" ht="26.25" customHeight="1" x14ac:dyDescent="0.25">
      <c r="A8" s="22" t="s">
        <v>114</v>
      </c>
      <c r="B8" s="22">
        <f t="shared" ref="B7:H11" si="3">IF(B3&gt;8,(8*10.5)+((B3-8)*(10.5*1.5)),B3 * 10.5)</f>
        <v>63</v>
      </c>
      <c r="C8" s="22">
        <f t="shared" si="3"/>
        <v>84</v>
      </c>
      <c r="D8" s="22">
        <f t="shared" si="3"/>
        <v>0</v>
      </c>
      <c r="E8" s="22">
        <f t="shared" si="3"/>
        <v>52.5</v>
      </c>
      <c r="F8" s="22">
        <f t="shared" si="3"/>
        <v>52.5</v>
      </c>
      <c r="G8" s="22">
        <f t="shared" si="3"/>
        <v>84</v>
      </c>
      <c r="H8" s="22">
        <f t="shared" si="3"/>
        <v>0</v>
      </c>
    </row>
    <row r="9" spans="1:10" ht="26.25" customHeight="1" x14ac:dyDescent="0.25">
      <c r="A9" s="22" t="s">
        <v>115</v>
      </c>
      <c r="B9" s="22">
        <f t="shared" si="3"/>
        <v>0</v>
      </c>
      <c r="C9" s="22">
        <f t="shared" si="3"/>
        <v>42</v>
      </c>
      <c r="D9" s="22">
        <f t="shared" si="3"/>
        <v>31.5</v>
      </c>
      <c r="E9" s="22">
        <f t="shared" si="3"/>
        <v>52.5</v>
      </c>
      <c r="F9" s="22">
        <f t="shared" si="3"/>
        <v>52.5</v>
      </c>
      <c r="G9" s="22">
        <f t="shared" si="3"/>
        <v>52.5</v>
      </c>
      <c r="H9" s="22">
        <f t="shared" si="3"/>
        <v>52.5</v>
      </c>
    </row>
    <row r="10" spans="1:10" ht="26.25" customHeight="1" x14ac:dyDescent="0.25">
      <c r="A10" s="22" t="s">
        <v>112</v>
      </c>
      <c r="B10" s="22">
        <f>IF(B5&gt;8,(8*10.5)+((B5-8)*(10.5*1.5)),B5 * 10.5)</f>
        <v>99.75</v>
      </c>
      <c r="C10" s="22">
        <f t="shared" ref="C10:H10" si="4">IF(C5&gt;8,(8*10.5)+((C5-8)*(10.5*1.5)),C5 * 10.5)</f>
        <v>0</v>
      </c>
      <c r="D10" s="22">
        <f t="shared" si="4"/>
        <v>52.5</v>
      </c>
      <c r="E10" s="22">
        <f t="shared" si="4"/>
        <v>84</v>
      </c>
      <c r="F10" s="22">
        <f t="shared" si="4"/>
        <v>52.5</v>
      </c>
      <c r="G10" s="22">
        <f t="shared" si="4"/>
        <v>84</v>
      </c>
      <c r="H10" s="22">
        <f t="shared" si="4"/>
        <v>42</v>
      </c>
    </row>
    <row r="11" spans="1:10" ht="26.25" customHeight="1" x14ac:dyDescent="0.25">
      <c r="A11" s="22" t="s">
        <v>116</v>
      </c>
      <c r="B11" s="22">
        <f>IF(B6&gt;8,(8*10.5)+((B6-8)*(10.5*1.5)),B6 * 10.5)</f>
        <v>84</v>
      </c>
      <c r="C11" s="22">
        <f t="shared" ref="C11:H11" si="5">IF(C6&gt;8,(8*10.5)+((C6-8)*(10.5*1.5)),C6 * 10.5)</f>
        <v>52.5</v>
      </c>
      <c r="D11" s="22">
        <f t="shared" si="5"/>
        <v>0</v>
      </c>
      <c r="E11" s="22">
        <f t="shared" si="5"/>
        <v>52.5</v>
      </c>
      <c r="F11" s="22">
        <f t="shared" si="5"/>
        <v>52.5</v>
      </c>
      <c r="G11" s="22">
        <f t="shared" si="5"/>
        <v>0</v>
      </c>
      <c r="H11" s="22">
        <f t="shared" si="5"/>
        <v>84</v>
      </c>
    </row>
    <row r="12" spans="1:10" ht="23.25" customHeight="1" x14ac:dyDescent="0.25">
      <c r="A12" s="36" t="s">
        <v>108</v>
      </c>
      <c r="B12" s="36"/>
      <c r="C12" s="36"/>
      <c r="D12" s="36"/>
      <c r="E12" s="37"/>
    </row>
    <row r="13" spans="1:10" ht="46.5" customHeight="1" x14ac:dyDescent="0.25">
      <c r="A13" s="36" t="s">
        <v>109</v>
      </c>
      <c r="B13" s="36"/>
      <c r="C13" s="36"/>
      <c r="D13" s="36"/>
      <c r="E13" s="36"/>
      <c r="G13" s="38" t="s">
        <v>111</v>
      </c>
      <c r="H13" s="38"/>
      <c r="I13" s="38"/>
      <c r="J13" s="38"/>
    </row>
  </sheetData>
  <mergeCells count="3">
    <mergeCell ref="A12:D12"/>
    <mergeCell ref="A13:E13"/>
    <mergeCell ref="G13:J13"/>
  </mergeCells>
  <conditionalFormatting sqref="B2:H6">
    <cfRule type="cellIs" dxfId="3" priority="3" operator="lessThan">
      <formula>8</formula>
    </cfRule>
    <cfRule type="cellIs" dxfId="2" priority="4" operator="greaterThan">
      <formula>8</formula>
    </cfRule>
  </conditionalFormatting>
  <conditionalFormatting sqref="I2:I6">
    <cfRule type="cellIs" dxfId="1" priority="1" operator="lessThan">
      <formula>40</formula>
    </cfRule>
    <cfRule type="cellIs" dxfId="0" priority="2" operator="greaterThan">
      <formula>40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Candelaria</dc:creator>
  <cp:lastModifiedBy>Mr. Candelaria</cp:lastModifiedBy>
  <dcterms:created xsi:type="dcterms:W3CDTF">2025-01-21T12:16:46Z</dcterms:created>
  <dcterms:modified xsi:type="dcterms:W3CDTF">2025-02-24T12:42:37Z</dcterms:modified>
</cp:coreProperties>
</file>