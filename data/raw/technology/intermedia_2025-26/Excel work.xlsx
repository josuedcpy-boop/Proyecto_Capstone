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sfaedupr-my.sharepoint.com/personal/josuecandelaria_casfaedu_org/Documents/Tech- Intermedia 2025-26/"/>
    </mc:Choice>
  </mc:AlternateContent>
  <xr:revisionPtr revIDLastSave="48" documentId="8_{87BF6C9B-B45F-4626-B842-74C7978AFBD1}" xr6:coauthVersionLast="47" xr6:coauthVersionMax="47" xr10:uidLastSave="{FEBF8E7F-9DFA-46AF-BD5B-F89CA78FBE5E}"/>
  <bookViews>
    <workbookView xWindow="-120" yWindow="-120" windowWidth="29040" windowHeight="15720" xr2:uid="{C4C3B542-830C-4310-81F2-FE2C67C1A4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J3" i="1"/>
  <c r="K4" i="1"/>
  <c r="K5" i="1"/>
  <c r="K6" i="1"/>
  <c r="K7" i="1"/>
  <c r="K8" i="1"/>
  <c r="K9" i="1"/>
  <c r="I9" i="1"/>
  <c r="J9" i="1"/>
  <c r="J4" i="1"/>
  <c r="I4" i="1" s="1"/>
  <c r="J5" i="1"/>
  <c r="I5" i="1" s="1"/>
  <c r="J6" i="1"/>
  <c r="I6" i="1" s="1"/>
  <c r="J7" i="1"/>
  <c r="I7" i="1" s="1"/>
  <c r="J8" i="1"/>
  <c r="I8" i="1" s="1"/>
  <c r="K3" i="1" l="1"/>
  <c r="L3" i="1" s="1"/>
</calcChain>
</file>

<file path=xl/sharedStrings.xml><?xml version="1.0" encoding="utf-8"?>
<sst xmlns="http://schemas.openxmlformats.org/spreadsheetml/2006/main" count="20" uniqueCount="20">
  <si>
    <t>Employee's Hour Worked</t>
  </si>
  <si>
    <t>Bob</t>
  </si>
  <si>
    <t>Lily</t>
  </si>
  <si>
    <t>Monday</t>
  </si>
  <si>
    <t>Tuesday</t>
  </si>
  <si>
    <t>Wednesday</t>
  </si>
  <si>
    <t>Thursday</t>
  </si>
  <si>
    <t>Friday</t>
  </si>
  <si>
    <t>Saturday</t>
  </si>
  <si>
    <t>Sunday</t>
  </si>
  <si>
    <t>Rose</t>
  </si>
  <si>
    <t>David</t>
  </si>
  <si>
    <t>Ryan</t>
  </si>
  <si>
    <t>Jack</t>
  </si>
  <si>
    <t>Angela</t>
  </si>
  <si>
    <t>Weekly Pay</t>
  </si>
  <si>
    <t xml:space="preserve">Figure out the weekly pay for every employee using a formula, only 1 employee has worked overtime hours. </t>
  </si>
  <si>
    <t>Weekly Hour Worked</t>
  </si>
  <si>
    <t>Real pay</t>
  </si>
  <si>
    <t>Monthly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</si>
</sst>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1" xfId="0" applyFill="1" applyBorder="1"/>
    <xf numFmtId="0" fontId="0" fillId="2" borderId="0" xfId="0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7DCF3-FDC8-443F-9194-ECE5898CCECD}">
  <dimension ref="A1:L11"/>
  <sheetViews>
    <sheetView tabSelected="1" topLeftCell="D1" zoomScale="240" zoomScaleNormal="240" workbookViewId="0">
      <selection activeCell="I4" sqref="I4"/>
    </sheetView>
  </sheetViews>
  <sheetFormatPr defaultRowHeight="15" x14ac:dyDescent="0.25"/>
  <cols>
    <col min="1" max="1" width="23" customWidth="1"/>
    <col min="4" max="4" width="10.5703125" customWidth="1"/>
    <col min="8" max="8" width="6.5703125" customWidth="1"/>
    <col min="9" max="9" width="19.85546875" customWidth="1"/>
    <col min="10" max="10" width="12.140625" customWidth="1"/>
    <col min="12" max="12" width="16.140625" customWidth="1"/>
  </cols>
  <sheetData>
    <row r="1" spans="1:12" x14ac:dyDescent="0.25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15</v>
      </c>
      <c r="J1" t="s">
        <v>17</v>
      </c>
      <c r="K1" t="s">
        <v>18</v>
      </c>
      <c r="L1" t="s">
        <v>19</v>
      </c>
    </row>
    <row r="3" spans="1:12" x14ac:dyDescent="0.25">
      <c r="A3" t="s">
        <v>1</v>
      </c>
      <c r="B3">
        <v>5</v>
      </c>
      <c r="C3">
        <v>5</v>
      </c>
      <c r="D3">
        <v>5</v>
      </c>
      <c r="E3">
        <v>5</v>
      </c>
      <c r="F3">
        <v>5</v>
      </c>
      <c r="G3">
        <v>5</v>
      </c>
      <c r="H3">
        <v>5</v>
      </c>
      <c r="I3" s="1">
        <f>IF(J3 &gt; 40, 40 * 10.25 + ((J3) - 40) * (10.25 * 1.5),(J3) * 10.25)</f>
        <v>358.75</v>
      </c>
      <c r="J3">
        <f>SUM(B3:H3)</f>
        <v>35</v>
      </c>
      <c r="K3">
        <f>I3 - I3 *0.115</f>
        <v>317.49374999999998</v>
      </c>
      <c r="L3">
        <f>K3 *4</f>
        <v>1269.9749999999999</v>
      </c>
    </row>
    <row r="4" spans="1:12" x14ac:dyDescent="0.25">
      <c r="A4" t="s">
        <v>2</v>
      </c>
      <c r="B4">
        <v>3</v>
      </c>
      <c r="C4">
        <v>5</v>
      </c>
      <c r="D4">
        <v>5</v>
      </c>
      <c r="F4">
        <v>8</v>
      </c>
      <c r="G4">
        <v>8</v>
      </c>
      <c r="H4">
        <v>5</v>
      </c>
      <c r="I4" s="1">
        <f t="shared" ref="I3:I8" si="0">IF(J4 &gt; 40, 40 * 10.25 + ((J4) - 40) * (10.25 * 1.5),(J4) * 10.25)</f>
        <v>348.5</v>
      </c>
      <c r="J4">
        <f t="shared" ref="J4:J9" si="1">SUM(B4:H4)</f>
        <v>34</v>
      </c>
      <c r="K4">
        <f t="shared" ref="K4:K9" si="2">I4 - I4 *0.115</f>
        <v>308.42250000000001</v>
      </c>
    </row>
    <row r="5" spans="1:12" x14ac:dyDescent="0.25">
      <c r="A5" t="s">
        <v>10</v>
      </c>
      <c r="C5">
        <v>5</v>
      </c>
      <c r="D5">
        <v>5</v>
      </c>
      <c r="E5">
        <v>5</v>
      </c>
      <c r="F5">
        <v>8</v>
      </c>
      <c r="G5">
        <v>8</v>
      </c>
      <c r="H5">
        <v>5</v>
      </c>
      <c r="I5" s="1">
        <f t="shared" si="0"/>
        <v>369</v>
      </c>
      <c r="J5">
        <f t="shared" si="1"/>
        <v>36</v>
      </c>
      <c r="K5">
        <f t="shared" si="2"/>
        <v>326.565</v>
      </c>
    </row>
    <row r="6" spans="1:12" x14ac:dyDescent="0.25">
      <c r="A6" t="s">
        <v>11</v>
      </c>
      <c r="B6">
        <v>5</v>
      </c>
      <c r="F6">
        <v>8</v>
      </c>
      <c r="G6">
        <v>8</v>
      </c>
      <c r="H6">
        <v>5</v>
      </c>
      <c r="I6" s="1">
        <f t="shared" si="0"/>
        <v>266.5</v>
      </c>
      <c r="J6">
        <f t="shared" si="1"/>
        <v>26</v>
      </c>
      <c r="K6">
        <f t="shared" si="2"/>
        <v>235.85249999999999</v>
      </c>
    </row>
    <row r="7" spans="1:12" x14ac:dyDescent="0.25">
      <c r="A7" t="s">
        <v>12</v>
      </c>
      <c r="B7">
        <v>5</v>
      </c>
      <c r="D7">
        <v>3</v>
      </c>
      <c r="E7">
        <v>5</v>
      </c>
      <c r="F7">
        <v>8</v>
      </c>
      <c r="H7">
        <v>5</v>
      </c>
      <c r="I7" s="1">
        <f t="shared" si="0"/>
        <v>266.5</v>
      </c>
      <c r="J7">
        <f t="shared" si="1"/>
        <v>26</v>
      </c>
      <c r="K7">
        <f t="shared" si="2"/>
        <v>235.85249999999999</v>
      </c>
    </row>
    <row r="8" spans="1:12" x14ac:dyDescent="0.25">
      <c r="A8" t="s">
        <v>13</v>
      </c>
      <c r="C8">
        <v>3</v>
      </c>
      <c r="D8">
        <v>5</v>
      </c>
      <c r="E8">
        <v>5</v>
      </c>
      <c r="F8">
        <v>8</v>
      </c>
      <c r="G8">
        <v>8</v>
      </c>
      <c r="H8">
        <v>5</v>
      </c>
      <c r="I8" s="1">
        <f t="shared" si="0"/>
        <v>348.5</v>
      </c>
      <c r="J8">
        <f t="shared" si="1"/>
        <v>34</v>
      </c>
      <c r="K8">
        <f t="shared" si="2"/>
        <v>308.42250000000001</v>
      </c>
    </row>
    <row r="9" spans="1:12" x14ac:dyDescent="0.25">
      <c r="A9" t="s">
        <v>14</v>
      </c>
      <c r="B9">
        <v>8</v>
      </c>
      <c r="C9">
        <v>8</v>
      </c>
      <c r="D9">
        <v>8</v>
      </c>
      <c r="E9">
        <v>8</v>
      </c>
      <c r="F9">
        <v>8</v>
      </c>
      <c r="H9">
        <v>5</v>
      </c>
      <c r="I9" s="1">
        <f>IF(J9 &gt; 40, 40 * 10.25 + ((J9) - 40) * (10.25 * 1.5),(J9) * 10.25)</f>
        <v>486.875</v>
      </c>
      <c r="J9">
        <f>SUM(B9:H9)</f>
        <v>45</v>
      </c>
      <c r="K9">
        <f t="shared" si="2"/>
        <v>430.88437499999998</v>
      </c>
    </row>
    <row r="11" spans="1:12" ht="48.75" customHeight="1" x14ac:dyDescent="0.25">
      <c r="A11" s="2" t="s">
        <v>16</v>
      </c>
      <c r="B11" s="2"/>
      <c r="C11" s="2"/>
      <c r="D11" s="2"/>
      <c r="E11" s="2"/>
      <c r="F11" s="2"/>
    </row>
  </sheetData>
  <mergeCells count="1">
    <mergeCell ref="A11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Candelaria</dc:creator>
  <cp:lastModifiedBy>Mr. Candelaria</cp:lastModifiedBy>
  <dcterms:created xsi:type="dcterms:W3CDTF">2025-10-27T11:10:12Z</dcterms:created>
  <dcterms:modified xsi:type="dcterms:W3CDTF">2025-10-28T12:42:36Z</dcterms:modified>
</cp:coreProperties>
</file>