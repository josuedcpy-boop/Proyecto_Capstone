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asfaedupr-my.sharepoint.com/personal/josuecandelaria_casfaedu_org/Documents/Technology - Intermedia/"/>
    </mc:Choice>
  </mc:AlternateContent>
  <xr:revisionPtr revIDLastSave="343" documentId="8_{9A53422B-3E49-4775-817B-D36E5AC71BEA}" xr6:coauthVersionLast="47" xr6:coauthVersionMax="47" xr10:uidLastSave="{EFF4158D-8892-484B-9C56-AFF3C1EC7EBF}"/>
  <bookViews>
    <workbookView xWindow="-120" yWindow="-120" windowWidth="29040" windowHeight="15720" activeTab="1" xr2:uid="{FCCF8A16-2F30-44EA-BCF0-9EDAC01892EF}"/>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2" l="1"/>
  <c r="H11" i="2"/>
  <c r="H20" i="2"/>
  <c r="H17" i="2"/>
  <c r="H15" i="2"/>
  <c r="J12" i="1"/>
  <c r="J11" i="1"/>
  <c r="J10" i="1"/>
  <c r="J9" i="1"/>
  <c r="G19" i="1"/>
  <c r="F19" i="1"/>
  <c r="E19" i="1"/>
  <c r="D19" i="1"/>
  <c r="C19" i="1"/>
  <c r="G18" i="1"/>
  <c r="F18" i="1"/>
  <c r="E18" i="1"/>
  <c r="D18" i="1"/>
  <c r="C18" i="1"/>
  <c r="G17" i="1"/>
  <c r="F17" i="1"/>
  <c r="E17" i="1"/>
  <c r="D17" i="1"/>
  <c r="C17" i="1"/>
  <c r="G16" i="1"/>
  <c r="F16" i="1"/>
  <c r="E16" i="1"/>
  <c r="D16" i="1"/>
  <c r="C16" i="1"/>
  <c r="G15" i="1"/>
  <c r="F15" i="1"/>
  <c r="E15" i="1"/>
  <c r="D15" i="1"/>
  <c r="C15" i="1"/>
  <c r="G14" i="1"/>
  <c r="F14" i="1"/>
  <c r="E14" i="1"/>
  <c r="D14" i="1"/>
  <c r="C14" i="1"/>
  <c r="G13" i="1"/>
  <c r="F13" i="1"/>
  <c r="E13" i="1"/>
  <c r="D13" i="1"/>
  <c r="C13" i="1"/>
  <c r="G12" i="1"/>
  <c r="F12" i="1"/>
  <c r="E12" i="1"/>
  <c r="D12" i="1"/>
  <c r="C12" i="1"/>
  <c r="G11" i="1"/>
  <c r="F11" i="1"/>
  <c r="E11" i="1"/>
  <c r="D11" i="1"/>
  <c r="C11" i="1"/>
  <c r="I10" i="1" l="1"/>
  <c r="I12" i="1"/>
  <c r="I11" i="1"/>
  <c r="I9" i="1"/>
</calcChain>
</file>

<file path=xl/sharedStrings.xml><?xml version="1.0" encoding="utf-8"?>
<sst xmlns="http://schemas.openxmlformats.org/spreadsheetml/2006/main" count="62" uniqueCount="39">
  <si>
    <t>Santa Workshop</t>
  </si>
  <si>
    <t>Candy Needed</t>
  </si>
  <si>
    <t>Making Candy Canes</t>
  </si>
  <si>
    <t>Cleaning the Sleigh</t>
  </si>
  <si>
    <t>Gift Wrapping</t>
  </si>
  <si>
    <t>Reindeer Feeding</t>
  </si>
  <si>
    <t>Cookie Checking</t>
  </si>
  <si>
    <t>Checking the List</t>
  </si>
  <si>
    <t>Chocolate Needed</t>
  </si>
  <si>
    <t>Mail Sorting</t>
  </si>
  <si>
    <t>Hot Cocoa prep</t>
  </si>
  <si>
    <t>Magic Needed</t>
  </si>
  <si>
    <t>Elves</t>
  </si>
  <si>
    <t>Avalaible</t>
  </si>
  <si>
    <t>Candy</t>
  </si>
  <si>
    <t>Chocolate</t>
  </si>
  <si>
    <t>Magic</t>
  </si>
  <si>
    <t>Workshop Supplies and Elves</t>
  </si>
  <si>
    <t>Elves Needed</t>
  </si>
  <si>
    <t>Building Toys</t>
  </si>
  <si>
    <t>Hours needed</t>
  </si>
  <si>
    <t>Tasks</t>
  </si>
  <si>
    <t>Elves needed</t>
  </si>
  <si>
    <t>Candy needed</t>
  </si>
  <si>
    <t>Chocolate needed</t>
  </si>
  <si>
    <t>Magic needed</t>
  </si>
  <si>
    <t>Amount of times done</t>
  </si>
  <si>
    <t>Building toys</t>
  </si>
  <si>
    <t>Hot Cocoa Prep</t>
  </si>
  <si>
    <t>Make it so that you use as much elves as possible without going negative in anything and create new section that says how many total of supplies and elves we used.</t>
  </si>
  <si>
    <t>Total Used</t>
  </si>
  <si>
    <t>Review Continuation</t>
  </si>
  <si>
    <t>1. Write a formula or various formulas that tells us how many materials we need to build 100 toys.</t>
  </si>
  <si>
    <t xml:space="preserve">Elves available </t>
  </si>
  <si>
    <t>3. Adjust the formula for the 2nd question, so that it writes that you don’t have enough elfs, if you don’t have enough elfs.</t>
  </si>
  <si>
    <t>2. Write a formula that calculates how many elfs are needed to make X gifts wrap where X is the value of H8.</t>
  </si>
  <si>
    <t>5. Create a formula that figures outs how much chocolate is needed for X amount of Hot cocoas, where X is in H9, if you run out of chocolate, say buy more chocolate.</t>
  </si>
  <si>
    <t>Chocolate available</t>
  </si>
  <si>
    <t>4. Figure out a formula that finds outs how many elves are needed to check the list twice and how much time is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</si>
</sst>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name val="Aptos Narrow"/>
      <family val="2"/>
      <scheme val="minor"/>
    </font>
    <font>
      <sz val="10"/>
      <color theme="1"/>
      <name val="Aptos Narrow"/>
      <family val="2"/>
      <scheme val="minor"/>
    </font>
    <font>
      <sz val="20"/>
      <color theme="1"/>
      <name val="Aptos Narrow"/>
      <family val="2"/>
      <scheme val="minor"/>
    </font>
  </fonts>
  <fills count="6">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rgb="FF7030A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4">
    <xf numFmtId="0" fontId="0" fillId="0" borderId="0" xfId="0"/>
    <xf numFmtId="0" fontId="0" fillId="2" borderId="0" xfId="0" applyFill="1"/>
    <xf numFmtId="0" fontId="0" fillId="3" borderId="0" xfId="0" applyFill="1"/>
    <xf numFmtId="0" fontId="0" fillId="4" borderId="1" xfId="0" applyFill="1" applyBorder="1"/>
    <xf numFmtId="0" fontId="1" fillId="3" borderId="0" xfId="0" applyFont="1" applyFill="1"/>
    <xf numFmtId="0" fontId="0" fillId="4" borderId="2" xfId="0" applyFill="1" applyBorder="1"/>
    <xf numFmtId="0" fontId="0" fillId="0" borderId="1" xfId="0" applyBorder="1"/>
    <xf numFmtId="0" fontId="2" fillId="4" borderId="1" xfId="0" applyFont="1" applyFill="1" applyBorder="1"/>
    <xf numFmtId="0" fontId="3" fillId="0" borderId="0" xfId="0" applyFont="1"/>
    <xf numFmtId="0" fontId="0" fillId="5" borderId="0" xfId="0" applyFill="1"/>
    <xf numFmtId="0" fontId="0" fillId="4" borderId="0" xfId="0" applyFill="1"/>
    <xf numFmtId="0" fontId="1" fillId="0" borderId="0" xfId="0" applyFont="1"/>
    <xf numFmtId="0" fontId="0" fillId="3" borderId="3" xfId="0" applyFill="1" applyBorder="1" applyAlignment="1">
      <alignment horizontal="center" wrapText="1"/>
    </xf>
    <xf numFmtId="0" fontId="0" fillId="3"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ustomXml" Target="../ink/ink7.xml"/><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11" Type="http://schemas.openxmlformats.org/officeDocument/2006/relationships/customXml" Target="../ink/ink6.xml"/><Relationship Id="rId5" Type="http://schemas.openxmlformats.org/officeDocument/2006/relationships/customXml" Target="../ink/ink3.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652537</xdr:colOff>
      <xdr:row>7</xdr:row>
      <xdr:rowOff>150420</xdr:rowOff>
    </xdr:from>
    <xdr:to>
      <xdr:col>7</xdr:col>
      <xdr:colOff>658657</xdr:colOff>
      <xdr:row>7</xdr:row>
      <xdr:rowOff>174180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77C187C0-8AD1-5DF7-308F-98D0C0525A1D}"/>
                </a:ext>
              </a:extLst>
            </xdr14:cNvPr>
            <xdr14:cNvContentPartPr/>
          </xdr14:nvContentPartPr>
          <xdr14:nvPr macro=""/>
          <xdr14:xfrm>
            <a:off x="8391600" y="1483920"/>
            <a:ext cx="6120" cy="23760"/>
          </xdr14:xfrm>
        </xdr:contentPart>
      </mc:Choice>
      <mc:Fallback>
        <xdr:pic>
          <xdr:nvPicPr>
            <xdr:cNvPr id="2" name="Ink 1">
              <a:extLst>
                <a:ext uri="{FF2B5EF4-FFF2-40B4-BE49-F238E27FC236}">
                  <a16:creationId xmlns:a16="http://schemas.microsoft.com/office/drawing/2014/main" id="{77C187C0-8AD1-5DF7-308F-98D0C0525A1D}"/>
                </a:ext>
              </a:extLst>
            </xdr:cNvPr>
            <xdr:cNvPicPr/>
          </xdr:nvPicPr>
          <xdr:blipFill>
            <a:blip xmlns:r="http://schemas.openxmlformats.org/officeDocument/2006/relationships" r:embed="rId2"/>
            <a:stretch>
              <a:fillRect/>
            </a:stretch>
          </xdr:blipFill>
          <xdr:spPr>
            <a:xfrm>
              <a:off x="8387280" y="1479600"/>
              <a:ext cx="14760" cy="32400"/>
            </a:xfrm>
            <a:prstGeom prst="rect">
              <a:avLst/>
            </a:prstGeom>
          </xdr:spPr>
        </xdr:pic>
      </mc:Fallback>
    </mc:AlternateContent>
    <xdr:clientData/>
  </xdr:twoCellAnchor>
  <xdr:twoCellAnchor editAs="oneCell">
    <xdr:from>
      <xdr:col>7</xdr:col>
      <xdr:colOff>237817</xdr:colOff>
      <xdr:row>11</xdr:row>
      <xdr:rowOff>61665</xdr:rowOff>
    </xdr:from>
    <xdr:to>
      <xdr:col>7</xdr:col>
      <xdr:colOff>254737</xdr:colOff>
      <xdr:row>11</xdr:row>
      <xdr:rowOff>63105</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9729D359-D724-5387-2E7A-021EB9FDB12B}"/>
                </a:ext>
              </a:extLst>
            </xdr14:cNvPr>
            <xdr14:cNvContentPartPr/>
          </xdr14:nvContentPartPr>
          <xdr14:nvPr macro=""/>
          <xdr14:xfrm>
            <a:off x="7976880" y="2300040"/>
            <a:ext cx="16920" cy="1440"/>
          </xdr14:xfrm>
        </xdr:contentPart>
      </mc:Choice>
      <mc:Fallback>
        <xdr:pic>
          <xdr:nvPicPr>
            <xdr:cNvPr id="3" name="Ink 2">
              <a:extLst>
                <a:ext uri="{FF2B5EF4-FFF2-40B4-BE49-F238E27FC236}">
                  <a16:creationId xmlns:a16="http://schemas.microsoft.com/office/drawing/2014/main" id="{9729D359-D724-5387-2E7A-021EB9FDB12B}"/>
                </a:ext>
              </a:extLst>
            </xdr:cNvPr>
            <xdr:cNvPicPr/>
          </xdr:nvPicPr>
          <xdr:blipFill>
            <a:blip xmlns:r="http://schemas.openxmlformats.org/officeDocument/2006/relationships" r:embed="rId4"/>
            <a:stretch>
              <a:fillRect/>
            </a:stretch>
          </xdr:blipFill>
          <xdr:spPr>
            <a:xfrm>
              <a:off x="7970760" y="2293920"/>
              <a:ext cx="29160" cy="13680"/>
            </a:xfrm>
            <a:prstGeom prst="rect">
              <a:avLst/>
            </a:prstGeom>
          </xdr:spPr>
        </xdr:pic>
      </mc:Fallback>
    </mc:AlternateContent>
    <xdr:clientData/>
  </xdr:twoCellAnchor>
  <xdr:twoCellAnchor editAs="oneCell">
    <xdr:from>
      <xdr:col>7</xdr:col>
      <xdr:colOff>369937</xdr:colOff>
      <xdr:row>10</xdr:row>
      <xdr:rowOff>175485</xdr:rowOff>
    </xdr:from>
    <xdr:to>
      <xdr:col>7</xdr:col>
      <xdr:colOff>490897</xdr:colOff>
      <xdr:row>11</xdr:row>
      <xdr:rowOff>155265</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 name="Ink 3">
              <a:extLst>
                <a:ext uri="{FF2B5EF4-FFF2-40B4-BE49-F238E27FC236}">
                  <a16:creationId xmlns:a16="http://schemas.microsoft.com/office/drawing/2014/main" id="{F437D5E7-CF14-6359-68C5-6B9A10A9D292}"/>
                </a:ext>
              </a:extLst>
            </xdr14:cNvPr>
            <xdr14:cNvContentPartPr/>
          </xdr14:nvContentPartPr>
          <xdr14:nvPr macro=""/>
          <xdr14:xfrm>
            <a:off x="8109000" y="2223360"/>
            <a:ext cx="120960" cy="170280"/>
          </xdr14:xfrm>
        </xdr:contentPart>
      </mc:Choice>
      <mc:Fallback>
        <xdr:pic>
          <xdr:nvPicPr>
            <xdr:cNvPr id="4" name="Ink 3">
              <a:extLst>
                <a:ext uri="{FF2B5EF4-FFF2-40B4-BE49-F238E27FC236}">
                  <a16:creationId xmlns:a16="http://schemas.microsoft.com/office/drawing/2014/main" id="{F437D5E7-CF14-6359-68C5-6B9A10A9D292}"/>
                </a:ext>
              </a:extLst>
            </xdr:cNvPr>
            <xdr:cNvPicPr/>
          </xdr:nvPicPr>
          <xdr:blipFill>
            <a:blip xmlns:r="http://schemas.openxmlformats.org/officeDocument/2006/relationships" r:embed="rId6"/>
            <a:stretch>
              <a:fillRect/>
            </a:stretch>
          </xdr:blipFill>
          <xdr:spPr>
            <a:xfrm>
              <a:off x="8102880" y="2217240"/>
              <a:ext cx="133200" cy="182520"/>
            </a:xfrm>
            <a:prstGeom prst="rect">
              <a:avLst/>
            </a:prstGeom>
          </xdr:spPr>
        </xdr:pic>
      </mc:Fallback>
    </mc:AlternateContent>
    <xdr:clientData/>
  </xdr:twoCellAnchor>
  <xdr:twoCellAnchor editAs="oneCell">
    <xdr:from>
      <xdr:col>7</xdr:col>
      <xdr:colOff>267697</xdr:colOff>
      <xdr:row>9</xdr:row>
      <xdr:rowOff>296820</xdr:rowOff>
    </xdr:from>
    <xdr:to>
      <xdr:col>7</xdr:col>
      <xdr:colOff>428977</xdr:colOff>
      <xdr:row>10</xdr:row>
      <xdr:rowOff>112485</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7" name="Ink 6">
              <a:extLst>
                <a:ext uri="{FF2B5EF4-FFF2-40B4-BE49-F238E27FC236}">
                  <a16:creationId xmlns:a16="http://schemas.microsoft.com/office/drawing/2014/main" id="{2B33CFA2-9C78-AB3D-865B-3E05741EF799}"/>
                </a:ext>
              </a:extLst>
            </xdr14:cNvPr>
            <xdr14:cNvContentPartPr/>
          </xdr14:nvContentPartPr>
          <xdr14:nvPr macro=""/>
          <xdr14:xfrm>
            <a:off x="8006760" y="2011320"/>
            <a:ext cx="161280" cy="149040"/>
          </xdr14:xfrm>
        </xdr:contentPart>
      </mc:Choice>
      <mc:Fallback>
        <xdr:pic>
          <xdr:nvPicPr>
            <xdr:cNvPr id="7" name="Ink 6">
              <a:extLst>
                <a:ext uri="{FF2B5EF4-FFF2-40B4-BE49-F238E27FC236}">
                  <a16:creationId xmlns:a16="http://schemas.microsoft.com/office/drawing/2014/main" id="{2B33CFA2-9C78-AB3D-865B-3E05741EF799}"/>
                </a:ext>
              </a:extLst>
            </xdr:cNvPr>
            <xdr:cNvPicPr/>
          </xdr:nvPicPr>
          <xdr:blipFill>
            <a:blip xmlns:r="http://schemas.openxmlformats.org/officeDocument/2006/relationships" r:embed="rId8"/>
            <a:stretch>
              <a:fillRect/>
            </a:stretch>
          </xdr:blipFill>
          <xdr:spPr>
            <a:xfrm>
              <a:off x="8000640" y="2005200"/>
              <a:ext cx="173520" cy="161280"/>
            </a:xfrm>
            <a:prstGeom prst="rect">
              <a:avLst/>
            </a:prstGeom>
          </xdr:spPr>
        </xdr:pic>
      </mc:Fallback>
    </mc:AlternateContent>
    <xdr:clientData/>
  </xdr:twoCellAnchor>
  <xdr:twoCellAnchor editAs="oneCell">
    <xdr:from>
      <xdr:col>7</xdr:col>
      <xdr:colOff>584497</xdr:colOff>
      <xdr:row>9</xdr:row>
      <xdr:rowOff>5580</xdr:rowOff>
    </xdr:from>
    <xdr:to>
      <xdr:col>7</xdr:col>
      <xdr:colOff>584857</xdr:colOff>
      <xdr:row>9</xdr:row>
      <xdr:rowOff>5940</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8" name="Ink 7">
              <a:extLst>
                <a:ext uri="{FF2B5EF4-FFF2-40B4-BE49-F238E27FC236}">
                  <a16:creationId xmlns:a16="http://schemas.microsoft.com/office/drawing/2014/main" id="{001FBAE4-681E-2C90-AF87-1553110A3AD7}"/>
                </a:ext>
              </a:extLst>
            </xdr14:cNvPr>
            <xdr14:cNvContentPartPr/>
          </xdr14:nvContentPartPr>
          <xdr14:nvPr macro=""/>
          <xdr14:xfrm>
            <a:off x="8323560" y="1720080"/>
            <a:ext cx="360" cy="360"/>
          </xdr14:xfrm>
        </xdr:contentPart>
      </mc:Choice>
      <mc:Fallback>
        <xdr:pic>
          <xdr:nvPicPr>
            <xdr:cNvPr id="8" name="Ink 7">
              <a:extLst>
                <a:ext uri="{FF2B5EF4-FFF2-40B4-BE49-F238E27FC236}">
                  <a16:creationId xmlns:a16="http://schemas.microsoft.com/office/drawing/2014/main" id="{001FBAE4-681E-2C90-AF87-1553110A3AD7}"/>
                </a:ext>
              </a:extLst>
            </xdr:cNvPr>
            <xdr:cNvPicPr/>
          </xdr:nvPicPr>
          <xdr:blipFill>
            <a:blip xmlns:r="http://schemas.openxmlformats.org/officeDocument/2006/relationships" r:embed="rId10"/>
            <a:stretch>
              <a:fillRect/>
            </a:stretch>
          </xdr:blipFill>
          <xdr:spPr>
            <a:xfrm>
              <a:off x="8317440" y="1713960"/>
              <a:ext cx="12600" cy="12600"/>
            </a:xfrm>
            <a:prstGeom prst="rect">
              <a:avLst/>
            </a:prstGeom>
          </xdr:spPr>
        </xdr:pic>
      </mc:Fallback>
    </mc:AlternateContent>
    <xdr:clientData/>
  </xdr:twoCellAnchor>
  <xdr:twoCellAnchor editAs="oneCell">
    <xdr:from>
      <xdr:col>5</xdr:col>
      <xdr:colOff>210255</xdr:colOff>
      <xdr:row>16</xdr:row>
      <xdr:rowOff>170445</xdr:rowOff>
    </xdr:from>
    <xdr:to>
      <xdr:col>5</xdr:col>
      <xdr:colOff>522015</xdr:colOff>
      <xdr:row>17</xdr:row>
      <xdr:rowOff>98385</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9" name="Ink 8">
              <a:extLst>
                <a:ext uri="{FF2B5EF4-FFF2-40B4-BE49-F238E27FC236}">
                  <a16:creationId xmlns:a16="http://schemas.microsoft.com/office/drawing/2014/main" id="{677F01F7-E57B-19AE-CB8F-1406FB7BC187}"/>
                </a:ext>
              </a:extLst>
            </xdr14:cNvPr>
            <xdr14:cNvContentPartPr/>
          </xdr14:nvContentPartPr>
          <xdr14:nvPr macro=""/>
          <xdr14:xfrm>
            <a:off x="5591880" y="3361320"/>
            <a:ext cx="311760" cy="118440"/>
          </xdr14:xfrm>
        </xdr:contentPart>
      </mc:Choice>
      <mc:Fallback>
        <xdr:pic>
          <xdr:nvPicPr>
            <xdr:cNvPr id="9" name="Ink 8">
              <a:extLst>
                <a:ext uri="{FF2B5EF4-FFF2-40B4-BE49-F238E27FC236}">
                  <a16:creationId xmlns:a16="http://schemas.microsoft.com/office/drawing/2014/main" id="{677F01F7-E57B-19AE-CB8F-1406FB7BC187}"/>
                </a:ext>
              </a:extLst>
            </xdr:cNvPr>
            <xdr:cNvPicPr/>
          </xdr:nvPicPr>
          <xdr:blipFill>
            <a:blip xmlns:r="http://schemas.openxmlformats.org/officeDocument/2006/relationships" r:embed="rId12"/>
            <a:stretch>
              <a:fillRect/>
            </a:stretch>
          </xdr:blipFill>
          <xdr:spPr>
            <a:xfrm>
              <a:off x="5585760" y="3355200"/>
              <a:ext cx="324000" cy="130680"/>
            </a:xfrm>
            <a:prstGeom prst="rect">
              <a:avLst/>
            </a:prstGeom>
          </xdr:spPr>
        </xdr:pic>
      </mc:Fallback>
    </mc:AlternateContent>
    <xdr:clientData/>
  </xdr:twoCellAnchor>
  <xdr:twoCellAnchor editAs="oneCell">
    <xdr:from>
      <xdr:col>9</xdr:col>
      <xdr:colOff>300139</xdr:colOff>
      <xdr:row>19</xdr:row>
      <xdr:rowOff>156945</xdr:rowOff>
    </xdr:from>
    <xdr:to>
      <xdr:col>9</xdr:col>
      <xdr:colOff>588139</xdr:colOff>
      <xdr:row>20</xdr:row>
      <xdr:rowOff>89205</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10" name="Ink 9">
              <a:extLst>
                <a:ext uri="{FF2B5EF4-FFF2-40B4-BE49-F238E27FC236}">
                  <a16:creationId xmlns:a16="http://schemas.microsoft.com/office/drawing/2014/main" id="{38E2422B-F607-DC50-CFD6-215470E21F96}"/>
                </a:ext>
              </a:extLst>
            </xdr14:cNvPr>
            <xdr14:cNvContentPartPr/>
          </xdr14:nvContentPartPr>
          <xdr14:nvPr macro=""/>
          <xdr14:xfrm>
            <a:off x="9979920" y="3919320"/>
            <a:ext cx="288000" cy="122760"/>
          </xdr14:xfrm>
        </xdr:contentPart>
      </mc:Choice>
      <mc:Fallback>
        <xdr:pic>
          <xdr:nvPicPr>
            <xdr:cNvPr id="10" name="Ink 9">
              <a:extLst>
                <a:ext uri="{FF2B5EF4-FFF2-40B4-BE49-F238E27FC236}">
                  <a16:creationId xmlns:a16="http://schemas.microsoft.com/office/drawing/2014/main" id="{38E2422B-F607-DC50-CFD6-215470E21F96}"/>
                </a:ext>
              </a:extLst>
            </xdr:cNvPr>
            <xdr:cNvPicPr/>
          </xdr:nvPicPr>
          <xdr:blipFill>
            <a:blip xmlns:r="http://schemas.openxmlformats.org/officeDocument/2006/relationships" r:embed="rId14"/>
            <a:stretch>
              <a:fillRect/>
            </a:stretch>
          </xdr:blipFill>
          <xdr:spPr>
            <a:xfrm>
              <a:off x="9973800" y="3913200"/>
              <a:ext cx="300240" cy="135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2T18:18:39.050"/>
    </inkml:context>
    <inkml:brush xml:id="br0">
      <inkml:brushProperty name="width" value="0.025" units="cm"/>
      <inkml:brushProperty name="height" value="0.025" units="cm"/>
    </inkml:brush>
  </inkml:definitions>
  <inkml:trace contextRef="#ctx0" brushRef="#br0">1 1 32767,'0'0'0,"4"23"0,0-4 0,1-4 0,-2-7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2T18:21:36.474"/>
    </inkml:context>
    <inkml:brush xml:id="br0">
      <inkml:brushProperty name="width" value="0.035" units="cm"/>
      <inkml:brushProperty name="height" value="0.035" units="cm"/>
    </inkml:brush>
  </inkml:definitions>
  <inkml:trace contextRef="#ctx0" brushRef="#br0">1 3 32767,'0'0'0,"5"0"0,14-1 0,-5 0 0,-7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2T18:22:41.082"/>
    </inkml:context>
    <inkml:brush xml:id="br0">
      <inkml:brushProperty name="width" value="0.035" units="cm"/>
      <inkml:brushProperty name="height" value="0.035" units="cm"/>
    </inkml:brush>
  </inkml:definitions>
  <inkml:trace contextRef="#ctx0" brushRef="#br0">47 0 32767,'19'23'0,"-2"0"0,-1 1 0,-1 1 0,-1 1 0,-1 0 0,-2 0 0,0 1 0,-2 0 0,10 47 0,-15-57 0,-1-9 0,-1 1 0,0 0 0,-1 0 0,1 0 0,-2 0 0,1 0 0,-1 1 0,-1-1 0,1 0 0,-5 15 0,5-23 0,0-1 0,0 1 0,0-1 0,-1 0 0,1 1 0,0-1 0,0 1 0,-1-1 0,1 0 0,0 1 0,-1-1 0,1 0 0,0 1 0,-1-1 0,1 0 0,-1 1 0,1-1 0,0 0 0,-1 0 0,1 1 0,-1-1 0,1 0 0,-1 0 0,1 0 0,-1 0 0,1 0 0,-1 0 0,1 0 0,-1 0 0,1 0 0,-1 0 0,0 0 0,-21-7 0,-12-14 0,33 20 0,-15-7 0,0-1 0,1-1 0,0 0 0,1-1 0,0-1 0,-23-24 0,37 35 0,0 1 0,-1 0 0,1-1 0,0 1 0,0-1 0,-1 1 0,1-1 0,0 1 0,0-1 0,0 1 0,0-1 0,0 1 0,0-1 0,0 1 0,-1-1 0,1 1 0,0 0 0,1-1 0,-1 1 0,0-1 0,0 1 0,0-1 0,0 1 0,0-1 0,0 1 0,1-1 0,-1 1 0,0-1 0,0 1 0,1 0 0,-1-1 0,0 1 0,1-1 0,-1 1 0,0 0 0,1-1 0,-1 1 0,0 0 0,1-1 0,0 1 0,21-10 0,-16 8 0,8-4 0,64-22 0,110-10 0,-187 38 0,0 0 0,-1 0 0,1-1 0,0 1 0,-1 0 0,1 0 0,0 0 0,0 0 0,-1 0 0,1 0 0,0 0 0,-1 0 0,1 0 0,0 1 0,-1-1 0,1 0 0,0 0 0,-1 1 0,1-1 0,0 0 0,-1 1 0,2 0 0,-2 0 0,1 0 0,-1 0 0,1 0 0,-1 0 0,1 1 0,-1-1 0,0 0 0,0 0 0,0 1 0,0-1 0,0 0 0,0 0 0,0 0 0,0 1 0,0-1 0,-1 0 0,1 0 0,0 0 0,-1 1 0,1-1 0,-2 2 0,-7 21 0,-1 0 0,-1 0 0,-1-2 0,-1 1 0,-1-1 0,-1-1 0,-21 23 0,33-41 0,0 0 0,0-1 0,0 0 0,0 0 0,-1 0 0,1 0 0,-1 0 0,1 0 0,-1-1 0,0 0 0,-4 1 0,7-2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2T18:22:42.004"/>
    </inkml:context>
    <inkml:brush xml:id="br0">
      <inkml:brushProperty name="width" value="0.035" units="cm"/>
      <inkml:brushProperty name="height" value="0.035" units="cm"/>
    </inkml:brush>
  </inkml:definitions>
  <inkml:trace contextRef="#ctx0" brushRef="#br0">0 34 32767,'49'46'0,"94"87"0,97 61 0,-236-192 0,7 2 0</inkml:trace>
  <inkml:trace contextRef="#ctx0" brushRef="#br0" timeOffset="430.22">354 1 32767,'-30'36'0,"0"-1"0,-44 38 0,60-60 0,-17 17 0,2 1 0,0 2 0,2 0 0,-29 49 0,54-78 0,2-3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2T18:23:49.287"/>
    </inkml:context>
    <inkml:brush xml:id="br0">
      <inkml:brushProperty name="width" value="0.035" units="cm"/>
      <inkml:brushProperty name="height" value="0.035" units="cm"/>
    </inkml:brush>
  </inkml:definitions>
  <inkml:trace contextRef="#ctx0" brushRef="#br0">1 1 32767,'0'0'0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2T18:27:33.715"/>
    </inkml:context>
    <inkml:brush xml:id="br0">
      <inkml:brushProperty name="width" value="0.035" units="cm"/>
      <inkml:brushProperty name="height" value="0.035" units="cm"/>
    </inkml:brush>
  </inkml:definitions>
  <inkml:trace contextRef="#ctx0" brushRef="#br0">634 80 32767,'-5'-5'0,"0"1"0,0 0 0,0 0 0,-1 0 0,1 1 0,-1 0 0,0 0 0,0 0 0,0 1 0,0 0 0,0 0 0,-1 0 0,1 1 0,-1 0 0,1 0 0,-1 1 0,-6 0 0,-43-7 0,18 1 0,-8-2 0,1 1 0,-2 2 0,1 3 0,-78 5 0,95 4 0,29-7 0,0 1 0,0-1 0,0 0 0,-1 0 0,1 0 0,0 1 0,0-1 0,0 0 0,0 0 0,0 0 0,0 1 0,0-1 0,0 0 0,0 0 0,0 0 0,0 1 0,0-1 0,0 0 0,0 0 0,0 0 0,0 1 0,0-1 0,0 0 0,0 0 0,1 0 0,-1 1 0,0-1 0,0 0 0,0 0 0,0 0 0,0 0 0,0 1 0,1-1 0,-1 0 0,0 0 0,0 0 0,0 0 0,0 0 0,1 0 0,-1 0 0,0 1 0,0-1 0,0 0 0,1 0 0,-1 0 0,0 0 0,0 0 0,0 0 0,1 0 0,-1 0 0,0 0 0,35 9 0,199 11 0,-171-11 0,134 31 0,-62-15 0,-133-25 0,9 3 0,-36 0 0,-176-7 0,-51 3 0,217 5 0,66-4 0,6 0 0,164 15 0,1 3 0,-391-39 0,151 17 0,-441-28 0,457 35 0,48 5 0,371 57 0,-37-7 0,-278-43 0,-256-44 0,-450-90 0,792 128 0,-69-6 0,374 37 0,-455-40 0,-53-5 0,-50-4 0,14 0 0,0 3 0,-133 6 0,202 0 0,-1 0 0,1 0 0,-1 1 0,1-1 0,0 1 0,-1-1 0,1 1 0,0 0 0,-1 0 0,1 0 0,0 0 0,0 0 0,0 1 0,0-1 0,0 1 0,0-1 0,-2 3 0,4-3 0,0-1 0,0 1 0,0-1 0,-1 1 0,1-1 0,0 1 0,0-1 0,0 1 0,0-1 0,0 1 0,0-1 0,0 1 0,0-1 0,0 1 0,0-1 0,0 1 0,0-1 0,0 1 0,1-1 0,-1 1 0,0-1 0,0 1 0,0-1 0,1 1 0,-1-1 0,0 0 0,1 1 0,22 13 0,29 2 0,0-2 0,89 11 0,36 5 0,-167-26 0,-31-5 0,-50-6 0,5-2 0,-6-2 0,0 3 0,0 3 0,-1 3 0,-118 12 0,179-5 0,33-3 0,-19-2 0,88 4 0,245 18 0,-284-16 0,-49-5 0,-10 0 0,-46-4 0,44 2 0,-38-2 0,46 3 0,-1 0 0,0 0 0,1 0 0,-1 1 0,1-1 0,-1 1 0,0-1 0,1 1 0,-1 0 0,1 0 0,0 0 0,-1 0 0,-3 3 0,9-2 0,1-1 0,0 1 0,-1-1 0,1 1 0,0-1 0,0 0 0,0-1 0,5 2 0,13 1 0,-7 0 0,1-1 0,0 0 0,-1-2 0,26-1 0,-114-17 0,-8 8 0,173 16 0,-26 13 0,-111-9 0,36-9 0,-11 1 0,18-1 0,13 1 0,10-1 0,-9-1 0,1 1 0,-1 0 0,0 1 0,0 0 0,23 8 0,-42-7 0,-14-2 0,-426-28 0,526 28 0,280 19 0,-343-17 0,-31-3 0,-30-3 0,15-2 0,0 2 0,-59 1 0,23 1 0,31-1 0,40 3 0,62 2 0,-45-1 0,-14-1 0,0-1 0,0 1 0,0-2 0,0 1 0,0-1 0,0 0 0,11-3 0,-1-3 0,-21 2 0,-16 1 0,-8 0 0,-1 1 0,-39 2 0,79 1 0,123 5 0,-420-46 0,277 40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2T18:29:43.360"/>
    </inkml:context>
    <inkml:brush xml:id="br0">
      <inkml:brushProperty name="width" value="0.035" units="cm"/>
      <inkml:brushProperty name="height" value="0.035" units="cm"/>
    </inkml:brush>
  </inkml:definitions>
  <inkml:trace contextRef="#ctx0" brushRef="#br0">142 112 32767,'2'7'0,"0"-1"0,1 0 0,0 0 0,0 0 0,1 0 0,-1-1 0,1 1 0,0-1 0,1 0 0,-1 0 0,1 0 0,0-1 0,0 0 0,1 0 0,-1 0 0,1 0 0,0-1 0,0 0 0,0 0 0,11 3 0,-10-4 0,-1 0 0,0 0 0,0 1 0,0 0 0,0 0 0,9 8 0,4 2 0,1-1 0,1 0 0,0-2 0,26 10 0,73 9 0,-102-26 0,-16-17 0,-2-12 0,1 4 0,2 1 0,0-1 0,1 1 0,1 0 0,1 0 0,1 1 0,1 0 0,10-21 0,-16 37 0,-2 0 0,-1 3 0,-21 15 0,-16 6 0,-48 18 0,78-33 0,0 0 0,1 1 0,0 0 0,-12 11 0,12-10 0,2-3 0,-1 0 0,1-1 0,-1 0 0,0 0 0,0 0 0,0 0 0,0-1 0,0 0 0,-1-1 0,1 1 0,0-1 0,-8 0 0,-4 0 0,0-2 0,-33-4 0,21 2 0,-20 3 0,40 1 0,1 0 0,-1-1 0,0 0 0,-16-3 0,20 1 0,4 1 0,1 0 0,-1 1 0,1-1 0,0 0 0,-1 0 0,1-1 0,0 1 0,0 0 0,-1 0 0,1-1 0,0 1 0,0 0 0,1-1 0,-1 1 0,0-1 0,0 0 0,1 1 0,-1-1 0,1 1 0,-1-1 0,1 0 0,0 1 0,0-1 0,-1 0 0,1 1 0,1-1 0,-1 0 0,0 0 0,0 1 0,0-1 0,1 0 0,-1 1 0,1-1 0,0 1 0,-1-1 0,1 1 0,0-1 0,0 1 0,0-1 0,1-1 0,50-42 0,-48 40 0,0 0 0,0 1 0,1-1 0,-1 1 0,1 0 0,0 0 0,1 1 0,-1-1 0,0 1 0,1 0 0,0 1 0,0 0 0,0-1 0,0 2 0,0-1 0,0 1 0,0 0 0,0 0 0,1 1 0,-1-1 0,0 1 0,7 1 0,38 9 0,93 29 0,-108-28 0,27 10 0,-60-19 0,-2 2 0,-10 0 0,-22 8 0,0 4 0,3-2 0,-46 16 0,67-28 0,0 0 0,0-1 0,0 0 0,0 0 0,-1-1 0,1 0 0,0 0 0,-13-2 0,-63-16 0,38 7 0,16 5 0,1 1 0,1-1 0,0-1 0,-36-16 0,62 23 0,1 0 0,-1 0 0,0 0 0,1 0 0,-1-1 0,1 1 0,-1 0 0,0 0 0,1 0 0,-1-1 0,1 1 0,-1 0 0,1-1 0,-1 1 0,1-1 0,-1 1 0,1 0 0,-1-1 0,1 1 0,-1-1 0,1 1 0,0-1 0,-1 0 0,1 1 0,0-1 0,-1 1 0,1-1 0,0 0 0,0 1 0,0-1 0,0 1 0,-1-1 0,1 0 0,0 1 0,0-1 0,0 0 0,0 1 0,0-1 0,1 0 0,-1 1 0,0-1 0,0 1 0,0-1 0,1 0 0,-1 1 0,0-1 0,0 1 0,1-1 0,-1 0 0,1 0 0,15-12 0,45-29 0,-53 35 0,1 0 0,0 1 0,1-1 0,-1 2 0,1-1 0,0 1 0,0 1 0,1 0 0,-1 0 0,21-3 0,5 3 0,0 1 0,0 2 0,0 2 0,1 1 0,35 7 0,23 22 0,-94-31 0,-1 1 0,0-1 0,1 0 0,-1 0 0,0 0 0,1 0 0,-1 1 0,0-1 0,1 0 0,-1 0 0,0 0 0,0 1 0,1-1 0,-1 0 0,0 1 0,0-1 0,0 0 0,1 1 0,-1-1 0,0 0 0,0 1 0,0-1 0,0 0 0,0 1 0,0-1 0,1 0 0,-1 1 0,0-1 0,0 0 0,0 1 0,0-1 0,0 0 0,0 1 0,-1-1 0,1 1 0,-10 14 0,-16 7 0,-79 12 0,88-27 0,1-1 0,-2-1 0,1-1 0,-20 3 0,-31 8 0,59-14 0,0 1 0,0-1 0,0 0 0,0-1 0,0 0 0,-17-3 0,-22 1 0,47 2 0,-3-2 0,37-2 0,-27 4 0,-1 0 0,0 0 0,1-1 0,-1 0 0,0 0 0,1 0 0,-1-1 0,0 1 0,0-1 0,0 0 0,-1-1 0,1 1 0,0-1 0,-1 0 0,5-4 0,0 2 0,1 0 0,0 1 0,0 0 0,0 1 0,0 0 0,0 0 0,1 1 0,-1 1 0,1 0 0,16 0 0,18 1 0,51 8 0,-41-2 0,-53-7 0,13 6 0,-14-2 0,-14 1 0,10-2 0,-34 8 0,1 2 0,-37 18 0,53-21 0,0-1 0,-1-2 0,0 0 0,-1-1 0,1-1 0,-1-1 0,0-1 0,-23 0 0,17-1 0,-1 1 0,1 2 0,-52 13 0,67-15 0,28-11 0,36-10 0,0 3 0,1 1 0,0 3 0,1 3 0,81-5 0,-125 14 0,0 1 0,-1 0 0,1 0 0,0 1 0,0 0 0,-1 1 0,0 0 0,14 6 0,64 41 0,-72-41 0,3 6 0,-25-6 0,7-8 0,-9 4 0,1 0 0,-1 0 0,0-1 0,-1 0 0,1 0 0,0-1 0,-1-1 0,0 0 0,-11 1 0,-6-2 0,0-1 0,-45-5 0,28 2 0,32 3 0,1 0 0,0-1 0,-1 0 0,1-1 0,0-1 0,-1 1 0,1-2 0,1 0 0,-16-7 0,27 10 0,-1 1 0,0-1 0,0 0 0,1 0 0,-1 0 0,1 0 0,-1 0 0,1 0 0,-1 0 0,1 0 0,0 0 0,-1 0 0,1 0 0,0 0 0,0-1 0,0 1 0,0 0 0,0 0 0,0 0 0,0 0 0,0 0 0,0 0 0,1 0 0,-1-1 0,0 1 0,1 0 0,-1 0 0,0 0 0,1 0 0,0 0 0,-1 0 0,1 1 0,0-1 0,-1 0 0,1 0 0,0 0 0,1 0 0,36-40 0,-31 35 0,3-4 0,0 1 0,1 1 0,0 0 0,0 1 0,1 0 0,0 0 0,0 1 0,0 1 0,1 0 0,0 1 0,0 0 0,0 1 0,1 0 0,-1 1 0,0 1 0,1 0 0,-1 1 0,1 0 0,0 1 0,-1 1 0,0 0 0,1 1 0,17 5 0,-31-8 0,0 0 0,1 0 0,-1 0 0,0 0 0,0 0 0,1 0 0,-1 0 0,0 0 0,0 1 0,1-1 0,-1 0 0,0 0 0,0 0 0,1 0 0,-1 0 0,0 0 0,0 0 0,1 1 0,-1-1 0,0 0 0,0 0 0,0 0 0,0 0 0,1 1 0,-1-1 0,0 0 0,0 0 0,0 1 0,0-1 0,0 0 0,0 0 0,1 1 0,-1-1 0,0 0 0,0 0 0,0 1 0,0-1 0,0 0 0,0 0 0,0 1 0,0-1 0,0 0 0,0 0 0,0 1 0,-12 8 0,-13 0 0,8-2 0,1 0 0,1 2 0,-23 14 0,30-17 0,0 0 0,-1-1 0,1 0 0,-1-1 0,0 0 0,-1 0 0,1 0 0,0-1 0,-1-1 0,0 0 0,0 0 0,1-1 0,-17 0 0,-202 6 0,218-9 0,21-3 0,-6 3 0,36-11 0,0-2 0,61-32 0,-85 37 0,1 1 0,0 1 0,1 0 0,21-5 0,-30 10 0,0 1 0,0 1 0,0-1 0,0 2 0,0-1 0,1 1 0,-1 1 0,0 0 0,0 0 0,11 4 0,-16-1 0,-15 4 0,-33 16 0,30-15 0,-1 0 0,1-2 0,-1 0 0,-1 0 0,1-2 0,-1 1 0,0-2 0,0 0 0,-1-1 0,1 0 0,-28 0 0,0-5 0,4 0 0,-57-9 0,96 11 0,0 0 0,0 0 0,0 0 0,0 0 0,0 0 0,0 0 0,0 0 0,0 0 0,0 0 0,0 0 0,0-1 0,0 1 0,1 0 0,-1 0 0,0 0 0,0 0 0,0 0 0,0 0 0,0 0 0,0 0 0,0 0 0,0 0 0,0 0 0,0-1 0,0 1 0,0 0 0,0 0 0,0 0 0,0 0 0,0 0 0,0 0 0,0 0 0,0 0 0,0 0 0,0 0 0,0-1 0,-1 1 0,1 0 0,0 0 0,0 0 0,0 0 0,0 0 0,0 0 0,0 0 0,0 0 0,0 0 0,0 0 0,0 0 0,0 0 0,0 0 0,0 0 0,0 0 0,-1 0 0,1 0 0,0 0 0,0 0 0,14-6 0,12-1 0,10 2 0,28-4 0,79-2 0,-123 11 0,-9-1 0,-1 1 0,1 0 0,-1 1 0,0 0 0,15 4 0,-25-5 0,0 0 0,1 0 0,-1 0 0,0 0 0,0 1 0,1-1 0,-1 0 0,0 0 0,0 0 0,0 0 0,1 0 0,-1 0 0,0 1 0,0-1 0,1 0 0,-1 0 0,0 0 0,0 1 0,0-1 0,0 0 0,0 0 0,1 1 0,-1-1 0,0 0 0,0 0 0,0 1 0,0-1 0,0 0 0,0 0 0,0 1 0,0-1 0,0 0 0,0 0 0,0 1 0,0-1 0,0 0 0,0 1 0,0-1 0,0 0 0,0 0 0,0 1 0,0-1 0,-10 14 0,-9 3 0,14-13 0,0 1 0,-1-2 0,0 1 0,1-1 0,-1 0 0,0 0 0,-1 0 0,1-1 0,0 0 0,-1 0 0,1-1 0,-1 1 0,0-2 0,1 1 0,-8-1 0,-8-1 0,0-1 0,0 0 0,-23-7 0,18 3 0,25 6 0,-7-4 0,31-5 0,18-3 0,1 1 0,1 3 0,0 1 0,0 2 0,72 1 0,-109 5 0,12 0 0,-1 1 0,1 1 0,22 6 0,-38-8 0,0-1 0,-1 0 0,1 0 0,0 1 0,0-1 0,0 0 0,0 1 0,-1-1 0,1 1 0,0-1 0,-1 1 0,1-1 0,0 1 0,-1 0 0,1-1 0,0 1 0,-1 0 0,1-1 0,-1 1 0,1 0 0,-1 0 0,0 0 0,1-1 0,-1 1 0,0 0 0,0 0 0,1 0 0,-1 0 0,0 0 0,0 0 0,0-1 0,0 1 0,0 0 0,0 0 0,0 0 0,0 0 0,-1 0 0,1 0 0,0-1 0,0 1 0,-1 0 0,1 0 0,-1 0 0,1 0 0,-1-1 0,1 1 0,-1 0 0,1-1 0,-1 1 0,1 0 0,-2 0 0,-1 3 0,-1-1 0,1 1 0,0-1 0,-1 0 0,0 0 0,1-1 0,-7 4 0,-10 1 0,0 0 0,-1-2 0,-27 4 0,38-8 0,1 0 0,-1-1 0,0 0 0,1 0 0,-1-1 0,1-1 0,-1 0 0,1 0 0,-18-7 0,26 8 0,-1 0 0,1 0 0,0 0 0,0 0 0,0 0 0,0 0 0,0 0 0,0 0 0,0-1 0,1 1 0,-1 0 0,0-1 0,1 1 0,-1-1 0,1 1 0,-1 0 0,1-1 0,0 1 0,-1-1 0,1 1 0,0-1 0,0 1 0,0-1 0,0 1 0,1-1 0,-1 0 0,0 1 0,1 0 0,-1-1 0,0 1 0,1-1 0,0 1 0,-1 0 0,1-1 0,1 0 0,1-6 0,1 1 0,-1-1 0,1 1 0,1 1 0,5-8 0,-4 8 0,1 0 0,-1 1 0,1 0 0,0 0 0,1 1 0,-1 0 0,1 0 0,-1 0 0,1 1 0,0 1 0,0-1 0,1 1 0,-1 1 0,0-1 0,1 1 0,-1 1 0,1 0 0,-1 0 0,1 0 0,-1 1 0,1 1 0,-1-1 0,0 1 0,0 1 0,1-1 0,-2 1 0,14 7 0,-20-9 0,-1-1 0,1 0 0,-1 0 0,1 1 0,-1-1 0,1 1 0,-1-1 0,1 0 0,-1 1 0,0-1 0,1 1 0,-1-1 0,0 1 0,1-1 0,-1 1 0,0-1 0,0 1 0,1-1 0,-1 1 0,0 0 0,0-1 0,0 1 0,0-1 0,0 1 0,0 0 0,1-1 0,-2 1 0,1-1 0,0 1 0,0 0 0,0-1 0,0 1 0,0-1 0,0 1 0,-1-1 0,1 1 0,0 0 0,0-1 0,-1 1 0,0 0 0,-23 23 0,7-9 0,10-7 0,-2 0 0,1-1 0,-1 0 0,0 0 0,0-1 0,-1 0 0,0-1 0,0 0 0,0 0 0,-1-1 0,1 0 0,-1-1 0,0-1 0,0 1 0,0-2 0,0 0 0,-1 0 0,1-1 0,0 0 0,-14-2 0,25 2 0,0 0 0,-1 0 0,1 0 0,0 0 0,0 0 0,-1 0 0,1 0 0,0 0 0,0 0 0,-1 0 0,1 0 0,0 0 0,0 0 0,-1 0 0,1-1 0,0 1 0,0 0 0,-1 0 0,1 0 0,0 0 0,0 0 0,0-1 0,-1 1 0,1 0 0,0 0 0,0 0 0,0-1 0,0 1 0,0 0 0,-1 0 0,1-1 0,0 1 0,0 0 0,0 0 0,0-1 0,0 1 0,0 0 0,0 0 0,0-1 0,0 1 0,0 0 0,0 0 0,0-1 0,0 1 0,0 0 0,0 0 0,0-1 0,0 1 0,0 0 0,0 0 0,0-1 0,1 1 0,-1 0 0,0 0 0,0 0 0,0-1 0,0 1 0,0 0 0,1 0 0,-1 0 0,0-1 0,1 1 0,12-12 0,-12 11 0,8-8 0,0 1 0,1 0 0,0 1 0,1 0 0,0 0 0,0 1 0,0 1 0,1 0 0,0 0 0,0 1 0,0 1 0,0 0 0,1 1 0,24-2 0,0 4 0,1 2 0,-1 2 0,60 13 0,-76-13 0,-13-3 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468C-3E54-4A96-AB89-CD5FB07AF7AF}">
  <dimension ref="A1:J22"/>
  <sheetViews>
    <sheetView zoomScale="160" zoomScaleNormal="160" workbookViewId="0">
      <selection sqref="A1:J6"/>
    </sheetView>
  </sheetViews>
  <sheetFormatPr defaultRowHeight="15" x14ac:dyDescent="0.25"/>
  <cols>
    <col min="1" max="1" width="19.140625" customWidth="1"/>
    <col min="2" max="2" width="19" customWidth="1"/>
    <col min="3" max="3" width="18" customWidth="1"/>
    <col min="4" max="4" width="17" customWidth="1"/>
    <col min="5" max="5" width="13.7109375" customWidth="1"/>
    <col min="6" max="6" width="15.85546875" customWidth="1"/>
    <col min="7" max="7" width="15.28515625" customWidth="1"/>
    <col min="8" max="8" width="23.42578125" customWidth="1"/>
    <col min="9" max="9" width="10.85546875" customWidth="1"/>
    <col min="10" max="10" width="14.5703125" customWidth="1"/>
  </cols>
  <sheetData>
    <row r="1" spans="1:10" x14ac:dyDescent="0.25">
      <c r="A1" s="1" t="s">
        <v>0</v>
      </c>
      <c r="B1" s="2" t="s">
        <v>19</v>
      </c>
      <c r="C1" s="1" t="s">
        <v>2</v>
      </c>
      <c r="D1" s="2" t="s">
        <v>3</v>
      </c>
      <c r="E1" s="1" t="s">
        <v>4</v>
      </c>
      <c r="F1" s="2" t="s">
        <v>5</v>
      </c>
      <c r="G1" s="1" t="s">
        <v>6</v>
      </c>
      <c r="H1" s="2" t="s">
        <v>7</v>
      </c>
      <c r="I1" s="1" t="s">
        <v>9</v>
      </c>
      <c r="J1" s="2" t="s">
        <v>10</v>
      </c>
    </row>
    <row r="2" spans="1:10" x14ac:dyDescent="0.25">
      <c r="A2" s="2" t="s">
        <v>18</v>
      </c>
      <c r="B2" s="1">
        <v>2</v>
      </c>
      <c r="C2" s="2">
        <v>1</v>
      </c>
      <c r="D2" s="1">
        <v>5</v>
      </c>
      <c r="E2" s="2">
        <v>3</v>
      </c>
      <c r="F2" s="1">
        <v>2</v>
      </c>
      <c r="G2" s="2">
        <v>4</v>
      </c>
      <c r="H2" s="1">
        <v>3</v>
      </c>
      <c r="I2" s="2">
        <v>3</v>
      </c>
      <c r="J2" s="1">
        <v>1</v>
      </c>
    </row>
    <row r="3" spans="1:10" x14ac:dyDescent="0.25">
      <c r="A3" s="1" t="s">
        <v>1</v>
      </c>
      <c r="B3" s="2">
        <v>10</v>
      </c>
      <c r="C3" s="1">
        <v>2</v>
      </c>
      <c r="D3" s="2">
        <v>0</v>
      </c>
      <c r="E3" s="1">
        <v>8</v>
      </c>
      <c r="F3" s="2">
        <v>5</v>
      </c>
      <c r="G3" s="1">
        <v>12</v>
      </c>
      <c r="H3" s="2">
        <v>9</v>
      </c>
      <c r="I3" s="1">
        <v>5</v>
      </c>
      <c r="J3" s="2">
        <v>4</v>
      </c>
    </row>
    <row r="4" spans="1:10" x14ac:dyDescent="0.25">
      <c r="A4" s="2" t="s">
        <v>8</v>
      </c>
      <c r="B4" s="1">
        <v>2</v>
      </c>
      <c r="C4" s="2">
        <v>5</v>
      </c>
      <c r="D4" s="1">
        <v>20</v>
      </c>
      <c r="E4" s="2">
        <v>4</v>
      </c>
      <c r="F4" s="1">
        <v>2</v>
      </c>
      <c r="G4" s="2">
        <v>0</v>
      </c>
      <c r="H4" s="1">
        <v>3</v>
      </c>
      <c r="I4" s="2">
        <v>3</v>
      </c>
      <c r="J4" s="1">
        <v>100</v>
      </c>
    </row>
    <row r="5" spans="1:10" x14ac:dyDescent="0.25">
      <c r="A5" s="1" t="s">
        <v>11</v>
      </c>
      <c r="B5" s="2">
        <v>10</v>
      </c>
      <c r="C5" s="1">
        <v>6</v>
      </c>
      <c r="D5" s="2">
        <v>5</v>
      </c>
      <c r="E5" s="1">
        <v>4</v>
      </c>
      <c r="F5" s="2">
        <v>3</v>
      </c>
      <c r="G5" s="1">
        <v>2</v>
      </c>
      <c r="H5" s="2">
        <v>0</v>
      </c>
      <c r="I5" s="1">
        <v>11</v>
      </c>
      <c r="J5" s="2">
        <v>25</v>
      </c>
    </row>
    <row r="6" spans="1:10" x14ac:dyDescent="0.25">
      <c r="A6" s="4" t="s">
        <v>20</v>
      </c>
      <c r="B6" s="1">
        <v>2</v>
      </c>
      <c r="C6" s="2">
        <v>0.5</v>
      </c>
      <c r="D6" s="1">
        <v>5</v>
      </c>
      <c r="E6" s="2">
        <v>1</v>
      </c>
      <c r="F6" s="1">
        <v>0.25</v>
      </c>
      <c r="G6" s="2">
        <v>0.5</v>
      </c>
      <c r="H6" s="1">
        <v>5</v>
      </c>
      <c r="I6" s="2">
        <v>8</v>
      </c>
      <c r="J6" s="1">
        <v>1</v>
      </c>
    </row>
    <row r="8" spans="1:10" x14ac:dyDescent="0.25">
      <c r="H8" s="7" t="s">
        <v>17</v>
      </c>
      <c r="I8" s="3" t="s">
        <v>13</v>
      </c>
      <c r="J8" s="3" t="s">
        <v>30</v>
      </c>
    </row>
    <row r="9" spans="1:10" x14ac:dyDescent="0.25">
      <c r="H9" s="3" t="s">
        <v>12</v>
      </c>
      <c r="I9" s="3">
        <f>1000 - SUM(C11:C22)</f>
        <v>0</v>
      </c>
      <c r="J9" s="3">
        <f>SUM(C11:C19)</f>
        <v>1000</v>
      </c>
    </row>
    <row r="10" spans="1:10" x14ac:dyDescent="0.25">
      <c r="A10" s="6" t="s">
        <v>21</v>
      </c>
      <c r="B10" s="6" t="s">
        <v>26</v>
      </c>
      <c r="C10" s="6" t="s">
        <v>22</v>
      </c>
      <c r="D10" s="6" t="s">
        <v>24</v>
      </c>
      <c r="E10" s="6" t="s">
        <v>25</v>
      </c>
      <c r="F10" s="6" t="s">
        <v>20</v>
      </c>
      <c r="G10" s="6" t="s">
        <v>23</v>
      </c>
      <c r="H10" s="5" t="s">
        <v>14</v>
      </c>
      <c r="I10" s="3">
        <f>3500-SUM(G11:G22)</f>
        <v>812</v>
      </c>
      <c r="J10" s="3">
        <f>SUM(G11:G19)</f>
        <v>2688</v>
      </c>
    </row>
    <row r="11" spans="1:10" x14ac:dyDescent="0.25">
      <c r="A11" s="6" t="s">
        <v>27</v>
      </c>
      <c r="B11" s="6"/>
      <c r="C11" s="6">
        <f>B2*B11</f>
        <v>0</v>
      </c>
      <c r="D11" s="6">
        <f>B4*B11</f>
        <v>0</v>
      </c>
      <c r="E11" s="6">
        <f>B5*B11</f>
        <v>0</v>
      </c>
      <c r="F11" s="6">
        <f>B6*B11</f>
        <v>0</v>
      </c>
      <c r="G11" s="6">
        <f>B3*B11</f>
        <v>0</v>
      </c>
      <c r="H11" s="5" t="s">
        <v>15</v>
      </c>
      <c r="I11" s="3">
        <f>5000 - SUM(D11:D21)</f>
        <v>2846</v>
      </c>
      <c r="J11" s="3">
        <f>SUM(D11:D19)</f>
        <v>2154</v>
      </c>
    </row>
    <row r="12" spans="1:10" x14ac:dyDescent="0.25">
      <c r="A12" s="6" t="s">
        <v>2</v>
      </c>
      <c r="B12" s="6">
        <v>100</v>
      </c>
      <c r="C12" s="6">
        <f>C2*B12</f>
        <v>100</v>
      </c>
      <c r="D12" s="6">
        <f>C4*B12</f>
        <v>500</v>
      </c>
      <c r="E12" s="6">
        <f>C5*B12</f>
        <v>600</v>
      </c>
      <c r="F12" s="6">
        <f>C6*B12</f>
        <v>50</v>
      </c>
      <c r="G12" s="6">
        <f>C3*B12</f>
        <v>200</v>
      </c>
      <c r="H12" s="5" t="s">
        <v>16</v>
      </c>
      <c r="I12" s="3">
        <f>2000-SUM(E11:E22)</f>
        <v>656</v>
      </c>
      <c r="J12" s="3">
        <f>SUM(E11:E19)</f>
        <v>1344</v>
      </c>
    </row>
    <row r="13" spans="1:10" x14ac:dyDescent="0.25">
      <c r="A13" s="6" t="s">
        <v>3</v>
      </c>
      <c r="B13" s="6">
        <v>10</v>
      </c>
      <c r="C13" s="6">
        <f>D2*B13</f>
        <v>50</v>
      </c>
      <c r="D13" s="6">
        <f>D4*B13</f>
        <v>200</v>
      </c>
      <c r="E13" s="6">
        <f>D5*B13</f>
        <v>50</v>
      </c>
      <c r="F13" s="6">
        <f>D6*B13</f>
        <v>50</v>
      </c>
      <c r="G13" s="6">
        <f>D3*B13</f>
        <v>0</v>
      </c>
    </row>
    <row r="14" spans="1:10" x14ac:dyDescent="0.25">
      <c r="A14" s="6" t="s">
        <v>4</v>
      </c>
      <c r="B14" s="6">
        <v>30</v>
      </c>
      <c r="C14" s="6">
        <f>E2*B14</f>
        <v>90</v>
      </c>
      <c r="D14" s="6">
        <f>E4*B14</f>
        <v>120</v>
      </c>
      <c r="E14" s="6">
        <f>E5*B14</f>
        <v>120</v>
      </c>
      <c r="F14" s="6">
        <f>E6*B14</f>
        <v>30</v>
      </c>
      <c r="G14" s="6">
        <f>E3*B14</f>
        <v>240</v>
      </c>
      <c r="J14">
        <v>9</v>
      </c>
    </row>
    <row r="15" spans="1:10" x14ac:dyDescent="0.25">
      <c r="A15" s="6" t="s">
        <v>5</v>
      </c>
      <c r="B15" s="6">
        <v>2</v>
      </c>
      <c r="C15" s="6">
        <f>F2*B15</f>
        <v>4</v>
      </c>
      <c r="D15" s="6">
        <f>F4*B15</f>
        <v>4</v>
      </c>
      <c r="E15" s="6">
        <f>F5*B15</f>
        <v>6</v>
      </c>
      <c r="F15" s="6">
        <f>F6*B15</f>
        <v>0.5</v>
      </c>
      <c r="G15" s="6">
        <f>F3*B15</f>
        <v>10</v>
      </c>
    </row>
    <row r="16" spans="1:10" x14ac:dyDescent="0.25">
      <c r="A16" s="6" t="s">
        <v>6</v>
      </c>
      <c r="B16" s="6">
        <v>104</v>
      </c>
      <c r="C16" s="6">
        <f>G2*B16</f>
        <v>416</v>
      </c>
      <c r="D16" s="6">
        <f>G4*B16</f>
        <v>0</v>
      </c>
      <c r="E16" s="6">
        <f>G5*B16</f>
        <v>208</v>
      </c>
      <c r="F16" s="6">
        <f>G6*B11</f>
        <v>0</v>
      </c>
      <c r="G16" s="6">
        <f>G3*B16</f>
        <v>1248</v>
      </c>
    </row>
    <row r="17" spans="1:10" x14ac:dyDescent="0.25">
      <c r="A17" s="6" t="s">
        <v>7</v>
      </c>
      <c r="B17" s="6">
        <v>100</v>
      </c>
      <c r="C17" s="6">
        <f>H2*B17</f>
        <v>300</v>
      </c>
      <c r="D17" s="6">
        <f>H4*B17</f>
        <v>300</v>
      </c>
      <c r="E17" s="6">
        <f>H5*B17</f>
        <v>0</v>
      </c>
      <c r="F17" s="6">
        <f>H6*B17</f>
        <v>500</v>
      </c>
      <c r="G17" s="6">
        <f>H3*B17</f>
        <v>900</v>
      </c>
    </row>
    <row r="18" spans="1:10" ht="15" customHeight="1" x14ac:dyDescent="0.25">
      <c r="A18" s="6" t="s">
        <v>9</v>
      </c>
      <c r="B18" s="6">
        <v>10</v>
      </c>
      <c r="C18" s="6">
        <f>I2*B18</f>
        <v>30</v>
      </c>
      <c r="D18" s="6">
        <f>I4*B18</f>
        <v>30</v>
      </c>
      <c r="E18" s="6">
        <f>I5*B18</f>
        <v>110</v>
      </c>
      <c r="F18" s="6">
        <f>I6*B18</f>
        <v>80</v>
      </c>
      <c r="G18" s="6">
        <f>I3*B18</f>
        <v>50</v>
      </c>
      <c r="H18" s="12" t="s">
        <v>29</v>
      </c>
      <c r="I18" s="13"/>
      <c r="J18" s="13"/>
    </row>
    <row r="19" spans="1:10" x14ac:dyDescent="0.25">
      <c r="A19" s="6" t="s">
        <v>28</v>
      </c>
      <c r="B19" s="6">
        <v>10</v>
      </c>
      <c r="C19" s="6">
        <f>J2*B19</f>
        <v>10</v>
      </c>
      <c r="D19" s="6">
        <f>J4*B19</f>
        <v>1000</v>
      </c>
      <c r="E19" s="6">
        <f>J5*B19</f>
        <v>250</v>
      </c>
      <c r="F19" s="6">
        <f>J6*B19</f>
        <v>10</v>
      </c>
      <c r="G19" s="6">
        <f>J3*B19</f>
        <v>40</v>
      </c>
      <c r="H19" s="12"/>
      <c r="I19" s="13"/>
      <c r="J19" s="13"/>
    </row>
    <row r="20" spans="1:10" x14ac:dyDescent="0.25">
      <c r="A20" s="6"/>
      <c r="B20" s="6"/>
      <c r="C20" s="6"/>
      <c r="D20" s="6"/>
      <c r="E20" s="6"/>
      <c r="F20" s="6"/>
      <c r="G20" s="6"/>
      <c r="H20" s="12"/>
      <c r="I20" s="13"/>
      <c r="J20" s="13"/>
    </row>
    <row r="21" spans="1:10" x14ac:dyDescent="0.25">
      <c r="A21" s="6"/>
      <c r="B21" s="6"/>
      <c r="C21" s="6"/>
      <c r="D21" s="6"/>
      <c r="E21" s="6"/>
      <c r="F21" s="6"/>
      <c r="G21" s="6"/>
      <c r="H21" s="12"/>
      <c r="I21" s="13"/>
      <c r="J21" s="13"/>
    </row>
    <row r="22" spans="1:10" x14ac:dyDescent="0.25">
      <c r="A22" s="6"/>
      <c r="B22" s="6"/>
      <c r="C22" s="6"/>
      <c r="D22" s="6"/>
      <c r="E22" s="6"/>
      <c r="F22" s="6"/>
      <c r="G22" s="6"/>
    </row>
  </sheetData>
  <mergeCells count="1">
    <mergeCell ref="H18:J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6C9B9-454A-4A60-A35C-556AB977AA1B}">
  <dimension ref="A1:J20"/>
  <sheetViews>
    <sheetView tabSelected="1" zoomScale="160" zoomScaleNormal="160" workbookViewId="0">
      <selection activeCell="H15" sqref="H15"/>
    </sheetView>
  </sheetViews>
  <sheetFormatPr defaultRowHeight="15" x14ac:dyDescent="0.25"/>
  <cols>
    <col min="1" max="1" width="17" customWidth="1"/>
    <col min="2" max="2" width="13" customWidth="1"/>
    <col min="3" max="3" width="19.140625" customWidth="1"/>
    <col min="4" max="4" width="17.140625" customWidth="1"/>
    <col min="5" max="5" width="14.42578125" customWidth="1"/>
    <col min="6" max="6" width="17" customWidth="1"/>
    <col min="7" max="7" width="18.42578125" customWidth="1"/>
    <col min="8" max="8" width="16.7109375" customWidth="1"/>
    <col min="9" max="9" width="12.42578125" customWidth="1"/>
    <col min="10" max="10" width="15" customWidth="1"/>
  </cols>
  <sheetData>
    <row r="1" spans="1:10" x14ac:dyDescent="0.25">
      <c r="A1" t="s">
        <v>0</v>
      </c>
      <c r="B1" t="s">
        <v>19</v>
      </c>
      <c r="C1" t="s">
        <v>2</v>
      </c>
      <c r="D1" t="s">
        <v>3</v>
      </c>
      <c r="E1" t="s">
        <v>4</v>
      </c>
      <c r="F1" t="s">
        <v>5</v>
      </c>
      <c r="G1" t="s">
        <v>6</v>
      </c>
      <c r="H1" t="s">
        <v>7</v>
      </c>
      <c r="I1" t="s">
        <v>9</v>
      </c>
      <c r="J1" t="s">
        <v>10</v>
      </c>
    </row>
    <row r="2" spans="1:10" x14ac:dyDescent="0.25">
      <c r="A2" t="s">
        <v>18</v>
      </c>
      <c r="B2">
        <v>2</v>
      </c>
      <c r="C2">
        <v>1</v>
      </c>
      <c r="D2">
        <v>5</v>
      </c>
      <c r="E2">
        <v>3</v>
      </c>
      <c r="F2">
        <v>2</v>
      </c>
      <c r="G2">
        <v>4</v>
      </c>
      <c r="H2">
        <v>3</v>
      </c>
      <c r="I2">
        <v>3</v>
      </c>
      <c r="J2">
        <v>1</v>
      </c>
    </row>
    <row r="3" spans="1:10" x14ac:dyDescent="0.25">
      <c r="A3" t="s">
        <v>1</v>
      </c>
      <c r="B3">
        <v>10</v>
      </c>
      <c r="C3">
        <v>2</v>
      </c>
      <c r="D3">
        <v>0</v>
      </c>
      <c r="E3">
        <v>8</v>
      </c>
      <c r="F3">
        <v>5</v>
      </c>
      <c r="G3">
        <v>12</v>
      </c>
      <c r="H3">
        <v>9</v>
      </c>
      <c r="I3">
        <v>5</v>
      </c>
      <c r="J3">
        <v>4</v>
      </c>
    </row>
    <row r="4" spans="1:10" x14ac:dyDescent="0.25">
      <c r="A4" t="s">
        <v>8</v>
      </c>
      <c r="B4">
        <v>2</v>
      </c>
      <c r="C4">
        <v>5</v>
      </c>
      <c r="D4">
        <v>20</v>
      </c>
      <c r="E4">
        <v>4</v>
      </c>
      <c r="F4">
        <v>2</v>
      </c>
      <c r="G4">
        <v>0</v>
      </c>
      <c r="H4">
        <v>3</v>
      </c>
      <c r="I4">
        <v>3</v>
      </c>
      <c r="J4">
        <v>100</v>
      </c>
    </row>
    <row r="5" spans="1:10" x14ac:dyDescent="0.25">
      <c r="A5" t="s">
        <v>11</v>
      </c>
      <c r="B5">
        <v>10</v>
      </c>
      <c r="C5">
        <v>6</v>
      </c>
      <c r="D5">
        <v>5</v>
      </c>
      <c r="E5">
        <v>4</v>
      </c>
      <c r="F5">
        <v>3</v>
      </c>
      <c r="G5">
        <v>2</v>
      </c>
      <c r="H5">
        <v>0</v>
      </c>
      <c r="I5">
        <v>11</v>
      </c>
      <c r="J5">
        <v>25</v>
      </c>
    </row>
    <row r="6" spans="1:10" x14ac:dyDescent="0.25">
      <c r="A6" s="11" t="s">
        <v>20</v>
      </c>
      <c r="B6">
        <v>2</v>
      </c>
      <c r="C6">
        <v>0.5</v>
      </c>
      <c r="D6">
        <v>5</v>
      </c>
      <c r="E6">
        <v>1</v>
      </c>
      <c r="F6">
        <v>0.25</v>
      </c>
      <c r="G6">
        <v>0.5</v>
      </c>
      <c r="H6">
        <v>5</v>
      </c>
      <c r="I6">
        <v>8</v>
      </c>
      <c r="J6">
        <v>1</v>
      </c>
    </row>
    <row r="8" spans="1:10" x14ac:dyDescent="0.25">
      <c r="A8" t="s">
        <v>33</v>
      </c>
      <c r="B8">
        <v>1005</v>
      </c>
      <c r="H8" s="9">
        <v>78</v>
      </c>
    </row>
    <row r="9" spans="1:10" x14ac:dyDescent="0.25">
      <c r="A9" t="s">
        <v>37</v>
      </c>
      <c r="B9">
        <v>10000</v>
      </c>
      <c r="H9" s="10">
        <v>98</v>
      </c>
    </row>
    <row r="10" spans="1:10" ht="26.25" x14ac:dyDescent="0.4">
      <c r="B10" s="8" t="s">
        <v>31</v>
      </c>
    </row>
    <row r="11" spans="1:10" x14ac:dyDescent="0.25">
      <c r="B11" t="s">
        <v>32</v>
      </c>
      <c r="H11">
        <f>SUM(B2:B5) *100</f>
        <v>2400</v>
      </c>
    </row>
    <row r="13" spans="1:10" x14ac:dyDescent="0.25">
      <c r="B13" t="s">
        <v>35</v>
      </c>
      <c r="H13">
        <f>E2 * H8</f>
        <v>234</v>
      </c>
    </row>
    <row r="15" spans="1:10" x14ac:dyDescent="0.25">
      <c r="B15" t="s">
        <v>34</v>
      </c>
      <c r="H15">
        <f>IF(E2*H8 &gt; B8, "Not enough elves", E2*H8)</f>
        <v>234</v>
      </c>
    </row>
    <row r="17" spans="2:8" x14ac:dyDescent="0.25">
      <c r="B17" t="s">
        <v>38</v>
      </c>
      <c r="H17">
        <f>H2 *2 + H6 *2</f>
        <v>16</v>
      </c>
    </row>
    <row r="19" spans="2:8" x14ac:dyDescent="0.25">
      <c r="B19" t="s">
        <v>36</v>
      </c>
    </row>
    <row r="20" spans="2:8" x14ac:dyDescent="0.25">
      <c r="H20">
        <f>IF(J4 *H9 &gt; B9, "Buy more chocolate", J4 *H9)</f>
        <v>9800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Candelaria</dc:creator>
  <cp:lastModifiedBy>Mr. Candelaria</cp:lastModifiedBy>
  <dcterms:created xsi:type="dcterms:W3CDTF">2025-11-05T12:05:40Z</dcterms:created>
  <dcterms:modified xsi:type="dcterms:W3CDTF">2025-12-12T18:32:52Z</dcterms:modified>
</cp:coreProperties>
</file>