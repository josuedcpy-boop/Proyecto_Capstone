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sfaedupr-my.sharepoint.com/personal/josuecandelaria_casfaedu_org/Documents/Technology - Intermedia/"/>
    </mc:Choice>
  </mc:AlternateContent>
  <xr:revisionPtr revIDLastSave="137" documentId="8_{E3E414D3-2404-4402-9AAC-969048DD9EC7}" xr6:coauthVersionLast="47" xr6:coauthVersionMax="47" xr10:uidLastSave="{D0420CE8-01BD-4127-A236-88C4BC1F058A}"/>
  <bookViews>
    <workbookView xWindow="-120" yWindow="-120" windowWidth="29040" windowHeight="15720" firstSheet="3" activeTab="3" xr2:uid="{35C36310-351A-43C6-9051-56F457E0E82E}"/>
  </bookViews>
  <sheets>
    <sheet name="Part 1" sheetId="1" r:id="rId1"/>
    <sheet name="Part 2" sheetId="2" r:id="rId2"/>
    <sheet name="Part 3" sheetId="3" r:id="rId3"/>
    <sheet name="Part 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D6" i="2"/>
  <c r="D5" i="2"/>
  <c r="D4" i="2"/>
  <c r="D3" i="2"/>
  <c r="D2" i="2"/>
  <c r="F8" i="2"/>
  <c r="F7" i="2"/>
  <c r="F6" i="2"/>
  <c r="F5" i="2"/>
  <c r="F4" i="2"/>
  <c r="F3" i="2"/>
  <c r="G2" i="2"/>
  <c r="F2" i="2"/>
  <c r="F4" i="3"/>
  <c r="G8" i="3"/>
  <c r="F8" i="3"/>
  <c r="F7" i="3"/>
  <c r="G4" i="3"/>
</calcChain>
</file>

<file path=xl/sharedStrings.xml><?xml version="1.0" encoding="utf-8"?>
<sst xmlns="http://schemas.openxmlformats.org/spreadsheetml/2006/main" count="74" uniqueCount="63">
  <si>
    <t>Answers</t>
  </si>
  <si>
    <t xml:space="preserve"> What are the names of the cells that are yellow in Column B</t>
  </si>
  <si>
    <t>B9</t>
  </si>
  <si>
    <t>What are the names of the cells that are green and have numbers in Column D?</t>
  </si>
  <si>
    <t>D3,D7</t>
  </si>
  <si>
    <t xml:space="preserve"> What column has no data?</t>
  </si>
  <si>
    <t>E</t>
  </si>
  <si>
    <t xml:space="preserve"> What cells are green in Row 9?</t>
  </si>
  <si>
    <t>D9</t>
  </si>
  <si>
    <t xml:space="preserve"> What are the cells that are all green?</t>
  </si>
  <si>
    <t>A2,A6,A11,B7,B11,C2,C10,D3,D7,D9</t>
  </si>
  <si>
    <t xml:space="preserve"> What are the cells that have numbers in them?</t>
  </si>
  <si>
    <t>A2,A6,A7,A9,A11,B3,B4,B6,B7,B9,C2,C4,C8,C10,D3,D7,D8</t>
  </si>
  <si>
    <t>Answer the following questions only using only formulas or functions.</t>
  </si>
  <si>
    <t>1. Find the sum of A4 and B10</t>
  </si>
  <si>
    <t>Double click both possible answers to see formula</t>
  </si>
  <si>
    <t>2. Find what A5 x B8 is</t>
  </si>
  <si>
    <t>Double click answer to see formula</t>
  </si>
  <si>
    <t>3. Find what  B7 - A8 is</t>
  </si>
  <si>
    <t>4. What is the Average of A4, B7, B10, A10, B2</t>
  </si>
  <si>
    <t>5. What is B10 divided by A5</t>
  </si>
  <si>
    <t>6. What is B6 + A5 - B9</t>
  </si>
  <si>
    <t>7. What is A10 x B10 divided by A8</t>
  </si>
  <si>
    <t>Christmas Wish List</t>
  </si>
  <si>
    <t>Price</t>
  </si>
  <si>
    <t>Priority</t>
  </si>
  <si>
    <t>1. Which cell contains the name of the top priority item?</t>
  </si>
  <si>
    <t>Doll</t>
  </si>
  <si>
    <t>2. Which cell contains the money you have saved up?</t>
  </si>
  <si>
    <t>A6</t>
  </si>
  <si>
    <t>Toy Car</t>
  </si>
  <si>
    <t>3. Using a formula or function, find the price of the top 3 priority items together.</t>
  </si>
  <si>
    <t>C10</t>
  </si>
  <si>
    <t>Video Game</t>
  </si>
  <si>
    <t>4. How many columns does the Table with data has?</t>
  </si>
  <si>
    <t>2 possible answers, double click them to see formula</t>
  </si>
  <si>
    <t>Console</t>
  </si>
  <si>
    <t>5. Whats the most items you can buy using your birthday money?(write the cells of those items)</t>
  </si>
  <si>
    <t>3 Columns</t>
  </si>
  <si>
    <t>Computer</t>
  </si>
  <si>
    <t>6. Create a formula using IF, that tells if you can afford the item in A7 with your birthday cash.</t>
  </si>
  <si>
    <t>A2, A3, A4 or A6, A2, A3</t>
  </si>
  <si>
    <t>Vacation Trip</t>
  </si>
  <si>
    <t>7. Write a formula or function that will tell you what everything costs together.</t>
  </si>
  <si>
    <t>New sets of Clothes</t>
  </si>
  <si>
    <t>Cash you got from Birthday</t>
  </si>
  <si>
    <t>Shopping Store</t>
  </si>
  <si>
    <t>Quantity</t>
  </si>
  <si>
    <t>1.  Write a formula for the cost of 1 pencil.</t>
  </si>
  <si>
    <t>&lt;-Answers</t>
  </si>
  <si>
    <t>Candy</t>
  </si>
  <si>
    <t>2. Write a formula for the cost of 1 of everything.</t>
  </si>
  <si>
    <t>Toy</t>
  </si>
  <si>
    <t>3. Write a formula for the cost of a pack of pencils, 1 pen and 1 notebook.</t>
  </si>
  <si>
    <t>Fruit</t>
  </si>
  <si>
    <t>1 pound</t>
  </si>
  <si>
    <t>4. Write a formula for the cost of 10 pounds of fruit.</t>
  </si>
  <si>
    <t>5. Write a  formula that tells you the price of a computer that has 20% off.</t>
  </si>
  <si>
    <t>Fan</t>
  </si>
  <si>
    <t>6.Write a formula that gives the correct change to someone that bought 2 pieces of candy, 1 fan and 3 pounds of fruit and paid with $20.</t>
  </si>
  <si>
    <t>Pen</t>
  </si>
  <si>
    <t>Pencil</t>
  </si>
  <si>
    <t>Notebook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</si>
</sst>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_([$$-409]* #,##0.00_);_([$$-409]* \(#,##0.00\);_([$$-409]* &quot;-&quot;??_);_(@_)"/>
  </numFmts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5" xfId="1" applyBorder="1"/>
    <xf numFmtId="0" fontId="1" fillId="2" borderId="0" xfId="1" applyBorder="1"/>
    <xf numFmtId="0" fontId="2" fillId="3" borderId="0" xfId="2" applyBorder="1"/>
    <xf numFmtId="0" fontId="0" fillId="0" borderId="6" xfId="0" applyBorder="1"/>
    <xf numFmtId="0" fontId="0" fillId="0" borderId="5" xfId="0" applyBorder="1"/>
    <xf numFmtId="0" fontId="3" fillId="4" borderId="5" xfId="3" applyBorder="1"/>
    <xf numFmtId="0" fontId="3" fillId="4" borderId="0" xfId="3" applyBorder="1"/>
    <xf numFmtId="0" fontId="2" fillId="3" borderId="5" xfId="2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6" fontId="0" fillId="0" borderId="0" xfId="0" applyNumberFormat="1"/>
    <xf numFmtId="164" fontId="0" fillId="0" borderId="0" xfId="0" applyNumberFormat="1"/>
    <xf numFmtId="0" fontId="0" fillId="5" borderId="10" xfId="0" applyFill="1" applyBorder="1"/>
    <xf numFmtId="0" fontId="0" fillId="6" borderId="10" xfId="0" applyFill="1" applyBorder="1"/>
    <xf numFmtId="164" fontId="0" fillId="6" borderId="10" xfId="0" applyNumberFormat="1" applyFill="1" applyBorder="1"/>
    <xf numFmtId="0" fontId="0" fillId="0" borderId="0" xfId="0" applyAlignment="1">
      <alignment vertical="top"/>
    </xf>
    <xf numFmtId="0" fontId="0" fillId="0" borderId="13" xfId="0" applyBorder="1" applyAlignment="1">
      <alignment vertical="top"/>
    </xf>
    <xf numFmtId="6" fontId="0" fillId="0" borderId="0" xfId="0" applyNumberFormat="1" applyAlignment="1">
      <alignment vertical="top"/>
    </xf>
    <xf numFmtId="6" fontId="0" fillId="0" borderId="13" xfId="0" applyNumberFormat="1" applyBorder="1" applyAlignment="1">
      <alignment vertical="top"/>
    </xf>
    <xf numFmtId="0" fontId="0" fillId="0" borderId="0" xfId="0" applyAlignment="1">
      <alignment vertical="top" wrapText="1"/>
    </xf>
    <xf numFmtId="0" fontId="0" fillId="6" borderId="13" xfId="0" applyFill="1" applyBorder="1"/>
    <xf numFmtId="0" fontId="0" fillId="5" borderId="13" xfId="0" applyFill="1" applyBorder="1"/>
    <xf numFmtId="6" fontId="0" fillId="5" borderId="13" xfId="0" applyNumberFormat="1" applyFill="1" applyBorder="1"/>
    <xf numFmtId="6" fontId="0" fillId="0" borderId="0" xfId="0" applyNumberFormat="1" applyAlignment="1">
      <alignment wrapText="1"/>
    </xf>
    <xf numFmtId="0" fontId="0" fillId="0" borderId="0" xfId="0" applyAlignment="1">
      <alignment horizontal="center" vertical="top"/>
    </xf>
    <xf numFmtId="0" fontId="0" fillId="7" borderId="11" xfId="0" applyFill="1" applyBorder="1" applyAlignment="1">
      <alignment horizontal="center" vertical="top"/>
    </xf>
    <xf numFmtId="0" fontId="0" fillId="7" borderId="12" xfId="0" applyFill="1" applyBorder="1" applyAlignment="1">
      <alignment horizontal="center" vertical="top"/>
    </xf>
    <xf numFmtId="0" fontId="0" fillId="7" borderId="14" xfId="0" applyFill="1" applyBorder="1"/>
    <xf numFmtId="164" fontId="0" fillId="8" borderId="10" xfId="0" applyNumberFormat="1" applyFill="1" applyBorder="1"/>
    <xf numFmtId="0" fontId="0" fillId="0" borderId="15" xfId="0" applyBorder="1" applyAlignment="1">
      <alignment wrapText="1"/>
    </xf>
    <xf numFmtId="164" fontId="0" fillId="8" borderId="16" xfId="0" applyNumberFormat="1" applyFill="1" applyBorder="1"/>
    <xf numFmtId="0" fontId="0" fillId="7" borderId="17" xfId="0" applyFill="1" applyBorder="1"/>
    <xf numFmtId="0" fontId="0" fillId="0" borderId="16" xfId="0" applyBorder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57D9-B91B-4844-B54D-9932F119CB28}">
  <dimension ref="A1:G12"/>
  <sheetViews>
    <sheetView zoomScale="270" zoomScaleNormal="270" workbookViewId="0">
      <selection activeCell="G9" sqref="G9"/>
    </sheetView>
  </sheetViews>
  <sheetFormatPr defaultRowHeight="15" x14ac:dyDescent="0.25"/>
  <cols>
    <col min="6" max="6" width="42.140625" customWidth="1"/>
    <col min="7" max="7" width="31.85546875" customWidth="1"/>
  </cols>
  <sheetData>
    <row r="1" spans="1:7" x14ac:dyDescent="0.25">
      <c r="A1" s="3"/>
      <c r="B1" s="4"/>
      <c r="C1" s="5"/>
      <c r="D1" s="5"/>
      <c r="E1" s="6"/>
      <c r="G1" t="s">
        <v>0</v>
      </c>
    </row>
    <row r="2" spans="1:7" ht="30" x14ac:dyDescent="0.25">
      <c r="A2" s="7">
        <v>456</v>
      </c>
      <c r="C2" s="8">
        <v>56</v>
      </c>
      <c r="D2" s="9"/>
      <c r="E2" s="10"/>
      <c r="F2" s="1" t="s">
        <v>1</v>
      </c>
      <c r="G2" t="s">
        <v>2</v>
      </c>
    </row>
    <row r="3" spans="1:7" ht="30" x14ac:dyDescent="0.25">
      <c r="A3" s="11"/>
      <c r="B3" s="9">
        <v>2</v>
      </c>
      <c r="D3" s="8">
        <v>34</v>
      </c>
      <c r="E3" s="10"/>
      <c r="F3" s="2" t="s">
        <v>3</v>
      </c>
      <c r="G3" t="s">
        <v>4</v>
      </c>
    </row>
    <row r="4" spans="1:7" x14ac:dyDescent="0.25">
      <c r="A4" s="11"/>
      <c r="B4">
        <v>245</v>
      </c>
      <c r="C4" s="9">
        <v>4</v>
      </c>
      <c r="D4" s="9"/>
      <c r="E4" s="10"/>
      <c r="F4" t="s">
        <v>5</v>
      </c>
      <c r="G4" t="s">
        <v>6</v>
      </c>
    </row>
    <row r="5" spans="1:7" x14ac:dyDescent="0.25">
      <c r="A5" s="12"/>
      <c r="B5" s="9"/>
      <c r="D5" s="13"/>
      <c r="E5" s="10"/>
      <c r="F5" t="s">
        <v>7</v>
      </c>
      <c r="G5" t="s">
        <v>8</v>
      </c>
    </row>
    <row r="6" spans="1:7" x14ac:dyDescent="0.25">
      <c r="A6" s="7">
        <v>4</v>
      </c>
      <c r="B6">
        <v>2</v>
      </c>
      <c r="C6" s="13"/>
      <c r="E6" s="10"/>
    </row>
    <row r="7" spans="1:7" x14ac:dyDescent="0.25">
      <c r="A7" s="14">
        <v>23</v>
      </c>
      <c r="B7" s="8">
        <v>7</v>
      </c>
      <c r="D7" s="8">
        <v>89</v>
      </c>
      <c r="E7" s="10"/>
      <c r="F7" t="s">
        <v>9</v>
      </c>
      <c r="G7" t="s">
        <v>10</v>
      </c>
    </row>
    <row r="8" spans="1:7" ht="30" x14ac:dyDescent="0.25">
      <c r="A8" s="11"/>
      <c r="C8" s="13">
        <v>6</v>
      </c>
      <c r="D8" s="9">
        <v>53</v>
      </c>
      <c r="E8" s="10"/>
      <c r="F8" t="s">
        <v>11</v>
      </c>
      <c r="G8" s="2" t="s">
        <v>12</v>
      </c>
    </row>
    <row r="9" spans="1:7" x14ac:dyDescent="0.25">
      <c r="A9" s="12">
        <v>54</v>
      </c>
      <c r="B9" s="13">
        <v>4</v>
      </c>
      <c r="D9" s="8"/>
      <c r="E9" s="10"/>
    </row>
    <row r="10" spans="1:7" x14ac:dyDescent="0.25">
      <c r="A10" s="11"/>
      <c r="C10" s="8">
        <v>34</v>
      </c>
      <c r="E10" s="10"/>
    </row>
    <row r="11" spans="1:7" x14ac:dyDescent="0.25">
      <c r="A11" s="7">
        <v>9</v>
      </c>
      <c r="B11" s="8"/>
      <c r="D11" s="9"/>
      <c r="E11" s="10"/>
    </row>
    <row r="12" spans="1:7" x14ac:dyDescent="0.25">
      <c r="A12" s="15"/>
      <c r="B12" s="16"/>
      <c r="C12" s="16"/>
      <c r="D12" s="16"/>
      <c r="E12" s="1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474FD-05CF-417F-B8E0-FED665054E84}">
  <dimension ref="A1:H10"/>
  <sheetViews>
    <sheetView zoomScale="180" zoomScaleNormal="180" workbookViewId="0">
      <selection activeCell="D7" sqref="D7"/>
    </sheetView>
  </sheetViews>
  <sheetFormatPr defaultRowHeight="15" x14ac:dyDescent="0.25"/>
  <cols>
    <col min="4" max="4" width="22.5703125" customWidth="1"/>
    <col min="5" max="5" width="41.28515625" customWidth="1"/>
    <col min="8" max="8" width="20" customWidth="1"/>
  </cols>
  <sheetData>
    <row r="1" spans="1:8" ht="30" x14ac:dyDescent="0.25">
      <c r="A1" s="29">
        <v>45</v>
      </c>
      <c r="B1" s="29">
        <v>54</v>
      </c>
      <c r="E1" s="2" t="s">
        <v>13</v>
      </c>
      <c r="F1" s="32" t="s">
        <v>0</v>
      </c>
      <c r="G1" s="32"/>
    </row>
    <row r="2" spans="1:8" ht="46.5" customHeight="1" x14ac:dyDescent="0.25">
      <c r="A2" s="29">
        <v>43</v>
      </c>
      <c r="B2" s="29">
        <v>95</v>
      </c>
      <c r="D2">
        <f>SUM(A1,A2)</f>
        <v>88</v>
      </c>
      <c r="E2" t="s">
        <v>14</v>
      </c>
      <c r="F2">
        <f>A4 + B10</f>
        <v>133</v>
      </c>
      <c r="G2">
        <f>SUM(A4,B10)</f>
        <v>133</v>
      </c>
      <c r="H2" s="2" t="s">
        <v>15</v>
      </c>
    </row>
    <row r="3" spans="1:8" ht="29.25" customHeight="1" x14ac:dyDescent="0.25">
      <c r="A3" s="29">
        <v>78</v>
      </c>
      <c r="B3" s="29">
        <v>27</v>
      </c>
      <c r="D3">
        <f>A1 + A2</f>
        <v>88</v>
      </c>
      <c r="E3" t="s">
        <v>16</v>
      </c>
      <c r="F3">
        <f>A5 * B8</f>
        <v>90</v>
      </c>
      <c r="H3" s="27" t="s">
        <v>17</v>
      </c>
    </row>
    <row r="4" spans="1:8" ht="30.75" customHeight="1" x14ac:dyDescent="0.25">
      <c r="A4" s="29">
        <v>12</v>
      </c>
      <c r="B4" s="29">
        <v>38</v>
      </c>
      <c r="D4">
        <f>B1*A5</f>
        <v>810</v>
      </c>
      <c r="E4" t="s">
        <v>18</v>
      </c>
      <c r="F4">
        <f>B7 - A8</f>
        <v>12</v>
      </c>
      <c r="H4" s="27" t="s">
        <v>17</v>
      </c>
    </row>
    <row r="5" spans="1:8" ht="33.75" customHeight="1" x14ac:dyDescent="0.25">
      <c r="A5" s="29">
        <v>15</v>
      </c>
      <c r="B5" s="29">
        <v>87</v>
      </c>
      <c r="D5">
        <f>B10/B8</f>
        <v>20.166666666666668</v>
      </c>
      <c r="E5" t="s">
        <v>19</v>
      </c>
      <c r="F5">
        <f>AVERAGE(A4,B7,B10,A10,B2)</f>
        <v>82.2</v>
      </c>
      <c r="H5" s="27" t="s">
        <v>17</v>
      </c>
    </row>
    <row r="6" spans="1:8" ht="32.25" customHeight="1" x14ac:dyDescent="0.25">
      <c r="A6" s="29">
        <v>12</v>
      </c>
      <c r="B6" s="29">
        <v>94</v>
      </c>
      <c r="D6">
        <f>B2+A8-B4</f>
        <v>102</v>
      </c>
      <c r="E6" t="s">
        <v>20</v>
      </c>
      <c r="F6">
        <f>B10/A5</f>
        <v>8.0666666666666664</v>
      </c>
      <c r="H6" s="27" t="s">
        <v>17</v>
      </c>
    </row>
    <row r="7" spans="1:8" ht="30" customHeight="1" x14ac:dyDescent="0.25">
      <c r="A7" s="29">
        <v>78</v>
      </c>
      <c r="B7" s="29">
        <v>57</v>
      </c>
      <c r="E7" t="s">
        <v>21</v>
      </c>
      <c r="F7">
        <f>B6 + A5 - B9</f>
        <v>101</v>
      </c>
      <c r="H7" s="27" t="s">
        <v>17</v>
      </c>
    </row>
    <row r="8" spans="1:8" ht="33" customHeight="1" x14ac:dyDescent="0.25">
      <c r="A8" s="29">
        <v>45</v>
      </c>
      <c r="B8" s="29">
        <v>6</v>
      </c>
      <c r="E8" t="s">
        <v>22</v>
      </c>
      <c r="F8">
        <f>A10 *B10/A8</f>
        <v>338.8</v>
      </c>
      <c r="H8" s="27" t="s">
        <v>17</v>
      </c>
    </row>
    <row r="9" spans="1:8" x14ac:dyDescent="0.25">
      <c r="A9" s="29">
        <v>73</v>
      </c>
      <c r="B9" s="29">
        <v>8</v>
      </c>
    </row>
    <row r="10" spans="1:8" x14ac:dyDescent="0.25">
      <c r="A10" s="29">
        <v>126</v>
      </c>
      <c r="B10" s="29">
        <v>121</v>
      </c>
    </row>
  </sheetData>
  <mergeCells count="1"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18B09-FC36-4522-A33F-1343B4B88414}">
  <dimension ref="A1:H10"/>
  <sheetViews>
    <sheetView zoomScale="200" zoomScaleNormal="200" workbookViewId="0">
      <selection activeCell="E8" sqref="E8"/>
    </sheetView>
  </sheetViews>
  <sheetFormatPr defaultRowHeight="15" x14ac:dyDescent="0.25"/>
  <cols>
    <col min="1" max="1" width="18.5703125" customWidth="1"/>
    <col min="5" max="5" width="52.85546875" customWidth="1"/>
    <col min="8" max="8" width="22" customWidth="1"/>
  </cols>
  <sheetData>
    <row r="1" spans="1:8" x14ac:dyDescent="0.25">
      <c r="A1" s="28" t="s">
        <v>23</v>
      </c>
      <c r="B1" s="28" t="s">
        <v>24</v>
      </c>
      <c r="C1" s="28" t="s">
        <v>25</v>
      </c>
      <c r="E1" t="s">
        <v>26</v>
      </c>
      <c r="F1" s="33" t="s">
        <v>0</v>
      </c>
      <c r="G1" s="34"/>
      <c r="H1" s="23"/>
    </row>
    <row r="2" spans="1:8" x14ac:dyDescent="0.25">
      <c r="A2" s="29" t="s">
        <v>27</v>
      </c>
      <c r="B2" s="30">
        <v>10</v>
      </c>
      <c r="C2" s="29">
        <v>7</v>
      </c>
      <c r="E2" t="s">
        <v>28</v>
      </c>
      <c r="F2" s="23" t="s">
        <v>29</v>
      </c>
      <c r="G2" s="24"/>
      <c r="H2" s="23"/>
    </row>
    <row r="3" spans="1:8" ht="30" x14ac:dyDescent="0.25">
      <c r="A3" s="29" t="s">
        <v>30</v>
      </c>
      <c r="B3" s="30">
        <v>5</v>
      </c>
      <c r="C3" s="29">
        <v>5</v>
      </c>
      <c r="E3" s="2" t="s">
        <v>31</v>
      </c>
      <c r="F3" s="23" t="s">
        <v>32</v>
      </c>
      <c r="G3" s="24"/>
      <c r="H3" s="23"/>
    </row>
    <row r="4" spans="1:8" ht="54.75" customHeight="1" x14ac:dyDescent="0.25">
      <c r="A4" s="29" t="s">
        <v>33</v>
      </c>
      <c r="B4" s="30">
        <v>60</v>
      </c>
      <c r="C4" s="29">
        <v>3</v>
      </c>
      <c r="E4" t="s">
        <v>34</v>
      </c>
      <c r="F4" s="25">
        <f>B6 + B5 + B4</f>
        <v>1360</v>
      </c>
      <c r="G4" s="26">
        <f>SUM(B4,B5,B6)</f>
        <v>1360</v>
      </c>
      <c r="H4" s="27" t="s">
        <v>35</v>
      </c>
    </row>
    <row r="5" spans="1:8" ht="30" x14ac:dyDescent="0.25">
      <c r="A5" s="29" t="s">
        <v>36</v>
      </c>
      <c r="B5" s="30">
        <v>300</v>
      </c>
      <c r="C5" s="29">
        <v>2</v>
      </c>
      <c r="E5" s="2" t="s">
        <v>37</v>
      </c>
      <c r="F5" s="23" t="s">
        <v>38</v>
      </c>
      <c r="G5" s="24"/>
      <c r="H5" s="23"/>
    </row>
    <row r="6" spans="1:8" ht="30" x14ac:dyDescent="0.25">
      <c r="A6" s="29" t="s">
        <v>39</v>
      </c>
      <c r="B6" s="30">
        <v>1000</v>
      </c>
      <c r="C6" s="29">
        <v>1</v>
      </c>
      <c r="E6" s="2" t="s">
        <v>40</v>
      </c>
      <c r="F6" s="23" t="s">
        <v>41</v>
      </c>
      <c r="G6" s="24"/>
      <c r="H6" s="23"/>
    </row>
    <row r="7" spans="1:8" ht="34.5" customHeight="1" x14ac:dyDescent="0.25">
      <c r="A7" s="29" t="s">
        <v>42</v>
      </c>
      <c r="B7" s="30">
        <v>500</v>
      </c>
      <c r="C7" s="29">
        <v>4</v>
      </c>
      <c r="E7" s="2" t="s">
        <v>43</v>
      </c>
      <c r="F7" s="23" t="str">
        <f>IF(C10&lt;B7,"Cant afford","Can afford")</f>
        <v>Cant afford</v>
      </c>
      <c r="G7" s="24"/>
      <c r="H7" s="27" t="s">
        <v>17</v>
      </c>
    </row>
    <row r="8" spans="1:8" ht="45.75" customHeight="1" x14ac:dyDescent="0.25">
      <c r="A8" s="29" t="s">
        <v>44</v>
      </c>
      <c r="B8" s="30">
        <v>100</v>
      </c>
      <c r="C8" s="29">
        <v>6</v>
      </c>
      <c r="E8" s="31">
        <f>20 -B2</f>
        <v>10</v>
      </c>
      <c r="F8" s="25">
        <f>SUM(B2:B8)</f>
        <v>1975</v>
      </c>
      <c r="G8" s="26">
        <f>B2+B3+B4+B5+B6+B7+B8</f>
        <v>1975</v>
      </c>
      <c r="H8" s="27" t="s">
        <v>35</v>
      </c>
    </row>
    <row r="10" spans="1:8" x14ac:dyDescent="0.25">
      <c r="A10" t="s">
        <v>45</v>
      </c>
      <c r="C10" s="18">
        <v>150</v>
      </c>
    </row>
  </sheetData>
  <mergeCells count="1"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AA7D-225E-49BF-909E-64087D18E177}">
  <dimension ref="A1:G10"/>
  <sheetViews>
    <sheetView tabSelected="1" zoomScale="200" zoomScaleNormal="200" workbookViewId="0">
      <selection activeCell="E7" sqref="E7"/>
    </sheetView>
  </sheetViews>
  <sheetFormatPr defaultRowHeight="15" x14ac:dyDescent="0.25"/>
  <cols>
    <col min="1" max="1" width="19.85546875" customWidth="1"/>
    <col min="4" max="4" width="14.85546875" customWidth="1"/>
    <col min="5" max="5" width="45.28515625" customWidth="1"/>
    <col min="6" max="6" width="23.140625" customWidth="1"/>
    <col min="7" max="7" width="11.85546875" customWidth="1"/>
  </cols>
  <sheetData>
    <row r="1" spans="1:7" x14ac:dyDescent="0.25">
      <c r="A1" s="20" t="s">
        <v>46</v>
      </c>
      <c r="B1" s="20" t="s">
        <v>24</v>
      </c>
      <c r="C1" s="20" t="s">
        <v>47</v>
      </c>
      <c r="E1" s="35" t="s">
        <v>48</v>
      </c>
      <c r="F1" s="36"/>
      <c r="G1" t="s">
        <v>49</v>
      </c>
    </row>
    <row r="2" spans="1:7" x14ac:dyDescent="0.25">
      <c r="A2" s="21" t="s">
        <v>50</v>
      </c>
      <c r="B2" s="22">
        <v>0.5</v>
      </c>
      <c r="C2" s="21">
        <v>1</v>
      </c>
      <c r="D2" s="19"/>
      <c r="E2" s="40" t="s">
        <v>51</v>
      </c>
      <c r="F2" s="36"/>
      <c r="G2" s="2"/>
    </row>
    <row r="3" spans="1:7" ht="30" x14ac:dyDescent="0.25">
      <c r="A3" s="21" t="s">
        <v>52</v>
      </c>
      <c r="B3" s="22">
        <v>1</v>
      </c>
      <c r="C3" s="21">
        <v>1</v>
      </c>
      <c r="D3" s="19"/>
      <c r="E3" s="2" t="s">
        <v>53</v>
      </c>
      <c r="F3" s="36"/>
    </row>
    <row r="4" spans="1:7" x14ac:dyDescent="0.25">
      <c r="A4" s="21" t="s">
        <v>54</v>
      </c>
      <c r="B4" s="22">
        <v>0.75</v>
      </c>
      <c r="C4" s="21" t="s">
        <v>55</v>
      </c>
      <c r="E4" t="s">
        <v>56</v>
      </c>
      <c r="F4" s="36"/>
    </row>
    <row r="5" spans="1:7" ht="30" x14ac:dyDescent="0.25">
      <c r="A5" s="21" t="s">
        <v>39</v>
      </c>
      <c r="B5" s="22">
        <v>300</v>
      </c>
      <c r="C5" s="21">
        <v>1</v>
      </c>
      <c r="E5" s="2" t="s">
        <v>57</v>
      </c>
      <c r="F5" s="36"/>
    </row>
    <row r="6" spans="1:7" ht="45" x14ac:dyDescent="0.25">
      <c r="A6" s="21" t="s">
        <v>58</v>
      </c>
      <c r="B6" s="22">
        <v>15</v>
      </c>
      <c r="C6" s="21">
        <v>1</v>
      </c>
      <c r="E6" s="2" t="s">
        <v>59</v>
      </c>
      <c r="F6" s="38"/>
    </row>
    <row r="7" spans="1:7" x14ac:dyDescent="0.25">
      <c r="A7" s="21" t="s">
        <v>60</v>
      </c>
      <c r="B7" s="22">
        <v>2.5</v>
      </c>
      <c r="C7" s="21">
        <v>1</v>
      </c>
      <c r="E7" s="37"/>
      <c r="F7" s="39"/>
    </row>
    <row r="8" spans="1:7" x14ac:dyDescent="0.25">
      <c r="A8" s="21" t="s">
        <v>61</v>
      </c>
      <c r="B8" s="22">
        <v>40</v>
      </c>
      <c r="C8" s="21">
        <v>5</v>
      </c>
    </row>
    <row r="9" spans="1:7" x14ac:dyDescent="0.25">
      <c r="A9" s="21" t="s">
        <v>62</v>
      </c>
      <c r="B9" s="22">
        <v>3</v>
      </c>
      <c r="C9" s="21">
        <v>1</v>
      </c>
      <c r="E9" s="19"/>
    </row>
    <row r="10" spans="1:7" x14ac:dyDescent="0.25">
      <c r="B10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 1</vt:lpstr>
      <vt:lpstr>Part 2</vt:lpstr>
      <vt:lpstr>Part 3</vt:lpstr>
      <vt:lpstr>Part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Mr. Candelaria</dc:creator>
  <cp:keywords/>
  <dc:description/>
  <cp:lastModifiedBy>Mr. Candelaria</cp:lastModifiedBy>
  <cp:revision/>
  <dcterms:created xsi:type="dcterms:W3CDTF">2023-10-23T12:58:18Z</dcterms:created>
  <dcterms:modified xsi:type="dcterms:W3CDTF">2025-01-30T11:44:53Z</dcterms:modified>
  <cp:category/>
  <cp:contentStatus/>
</cp:coreProperties>
</file>